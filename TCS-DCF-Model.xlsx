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CF Model"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<sst xmlns="http://schemas.openxmlformats.org/spreadsheetml/2006/main" count="195" uniqueCount="176">
  <si>
    <t xml:space="preserve">Tata Consultancy Services — Discounted Cash Flow Model</t>
  </si>
  <si>
    <t xml:space="preserve">INR crore unless stated · Consolidated · Valuation date 31-Mar-2026 (FY26 end) · Cross-checked against the Python DCF</t>
  </si>
  <si>
    <t xml:space="preserve">Italic blue blocks explain each stage; the green Notes column (far right) gives a plain-language reason for every line. Discounting uses simple 1/(1+WACC)^t arithmetic.</t>
  </si>
  <si>
    <t xml:space="preserve">Colours:  blue = number you enter   ·   black = calculated   ·   yellow = check or update before relying on it</t>
  </si>
  <si>
    <t xml:space="preserve">STAGE 1 — Assumptions  (the numbers you enter)</t>
  </si>
  <si>
    <t xml:space="preserve">NOTES — plain-language reasons</t>
  </si>
  <si>
    <t xml:space="preserve">These are the numbers you type in; everything else in the model is calculated from them. WACC and the two growth rates have the biggest effect on the final value, so they sit at the top. Cash and debt are here too, but they don't affect the yearly cash flows — they're used only at the very end, to turn the value of the business into the value for shareholders. Yellow cells are the ones to double-check or update before you rely on the model.</t>
  </si>
  <si>
    <t xml:space="preserve">Tax Rate</t>
  </si>
  <si>
    <t xml:space="preserve">TCS paid about 24% of its profit in tax in FY26. We use the after-tax amount because a company only keeps what's left after tax, and that is what investors can actually claim.</t>
  </si>
  <si>
    <t xml:space="preserve">Discount Rate (WACC)</t>
  </si>
  <si>
    <t xml:space="preserve">The yearly return TCS's investors expect, and the rate used to bring future cash back to today's value. It isn't typed in — it is worked out in Stage 6 and copied here.</t>
  </si>
  <si>
    <t xml:space="preserve">Terminal Growth (g)</t>
  </si>
  <si>
    <t xml:space="preserve">The rate at which we assume cash flows keep growing forever, after the 5-year forecast. It must be smaller than WACC, or the terminal-value formula gives a meaningless (negative or infinite) answer.</t>
  </si>
  <si>
    <t xml:space="preserve">Explicit Growth</t>
  </si>
  <si>
    <t xml:space="preserve">How fast cash flows grow during the 5 forecast years. 6% is based on TCS's recent revenue and profit growth, not a guess.</t>
  </si>
  <si>
    <t xml:space="preserve">Exit EV/EBITDA (x)</t>
  </si>
  <si>
    <t xml:space="preserve">Used only as a second opinion on the terminal value: what a buyer might pay, as a multiple of one year's EBITDA. TCS trades at about 12 times EBITDA today, so we use 12.</t>
  </si>
  <si>
    <t xml:space="preserve">Valuation date (FY-end)</t>
  </si>
  <si>
    <t xml:space="preserve">The date we value the company as of. Everything is discounted back to here; the five forecast years are the March year-ends after it.</t>
  </si>
  <si>
    <t xml:space="preserve">Current Price (INR)</t>
  </si>
  <si>
    <t xml:space="preserve">Today's market price — the only figure we take from the market rather than estimate. We judge our own estimate against it. It changes daily, so update it before sharing the model.</t>
  </si>
  <si>
    <t xml:space="preserve">Shares Outstanding (cr)</t>
  </si>
  <si>
    <t xml:space="preserve">The number of TCS shares (about 361.8 crore). We divide total equity value by this to get the value of one share.</t>
  </si>
  <si>
    <t xml:space="preserve">Debt (INR cr)</t>
  </si>
  <si>
    <t xml:space="preserve">What TCS owes — for TCS this is only lease obligations, as it has almost no borrowing. We subtract it when going from business value to shareholder value.</t>
  </si>
  <si>
    <t xml:space="preserve">Cash &amp; Investments (INR cr)</t>
  </si>
  <si>
    <t xml:space="preserve">Cash plus investments TCS holds. Shareholders own this on top of the business, so we add it back at the end. It must include investments, where TCS keeps a large amount.</t>
  </si>
  <si>
    <t xml:space="preserve">Capex (INR cr)</t>
  </si>
  <si>
    <t xml:space="preserve">Money TCS spends each year on equipment and offices. It is real cash leaving the company, so we subtract it when working out free cash flow.</t>
  </si>
  <si>
    <t xml:space="preserve">Quick checks (calculated automatically)</t>
  </si>
  <si>
    <t xml:space="preserve">Net Cash (Cash &amp; Inv − Debt)</t>
  </si>
  <si>
    <t xml:space="preserve">Cash and investments minus debt = ₹38,737 cr. This is added when moving from business value to shareholder value. (Python's ₹55,000 was too high — more than the cash the company actually holds.)</t>
  </si>
  <si>
    <t xml:space="preserve">Implied Market Cap (Price × Shares)</t>
  </si>
  <si>
    <t xml:space="preserve">Share price times number of shares = what the market currently values all of TCS's shares at.</t>
  </si>
  <si>
    <t xml:space="preserve">Implied Current EV (MktCap − Net Cash)</t>
  </si>
  <si>
    <t xml:space="preserve">Market cap minus net cash = what the market thinks TCS's core business is worth. We compare our own business-value estimate against this.</t>
  </si>
  <si>
    <t xml:space="preserve">STAGE 2 — Unlevered Free Cash Flow  (the cash the business makes)</t>
  </si>
  <si>
    <t xml:space="preserve">This works out the cash the business actually generates each year, available to everyone who funds it (lenders and shareholders) — which is why it is called 'unlevered', meaning before the effect of borrowing. We start from EBIT (operating profit, before interest and tax), not net profit, because net profit is already after interest and we don't want financing mixed in yet. From EBIT we take off tax, add back depreciation (not a real cash outflow), take off money spent on assets, and take off the extra cash tied up as the business grows. FY26 is the latest actual year; FY27 to FY31 grow from it at the chosen rate.</t>
  </si>
  <si>
    <t xml:space="preserve">Line item (FY26A = starting point)</t>
  </si>
  <si>
    <t xml:space="preserve">FY26A</t>
  </si>
  <si>
    <t xml:space="preserve">FY27F</t>
  </si>
  <si>
    <t xml:space="preserve">FY28F</t>
  </si>
  <si>
    <t xml:space="preserve">FY29F</t>
  </si>
  <si>
    <t xml:space="preserve">FY30F</t>
  </si>
  <si>
    <t xml:space="preserve">FY31F</t>
  </si>
  <si>
    <t xml:space="preserve">EBIT</t>
  </si>
  <si>
    <t xml:space="preserve">Operating profit before interest and tax. We get it from EBITDA (72,398) minus depreciation (5,560) = 66,838. Note: Screener calls EBITDA 'Operating Profit', so if you forget to subtract depreciation you overstate profit.</t>
  </si>
  <si>
    <t xml:space="preserve">Less: Cash Taxes</t>
  </si>
  <si>
    <t xml:space="preserve">Tax charged on that operating profit. We apply tax to EBIT itself, not to after-interest profit, so the result stays before-financing. The tax saved by using debt is dealt with inside WACC instead, so it isn't counted twice.</t>
  </si>
  <si>
    <t xml:space="preserve">Plus: D&amp;A</t>
  </si>
  <si>
    <t xml:space="preserve">Depreciation was subtracted to reach EBIT, but it is not money leaving the company — it just spreads past spending over time in the accounts. Since we only want real cash, we add it back.</t>
  </si>
  <si>
    <t xml:space="preserve">Less: Capex</t>
  </si>
  <si>
    <t xml:space="preserve">Cash spent on new assets this year. The accounts spread this cost over several years as depreciation, but the cash goes out now, so a cash model subtracts the whole amount here.</t>
  </si>
  <si>
    <t xml:space="preserve">Less: Changes in NWC</t>
  </si>
  <si>
    <t xml:space="preserve">As the business grows it ties up cash in unpaid customer bills and stock before it comes back. Watch the sign: the cash-flow statement showed this as −2,210 (cash used). This row is 'Less' and gets subtracted, so we enter +2,210 to get the same effect.</t>
  </si>
  <si>
    <t xml:space="preserve">Unlevered FCF</t>
  </si>
  <si>
    <t xml:space="preserve">What's left is the cash the whole business makes in a year, free for all investors. FY26 comes to 50,001 — the same number the Python model gave, so the two agree before any discounting.</t>
  </si>
  <si>
    <t xml:space="preserve">FY26 is the starting point (not discounted). Each later year = previous year × (1 + explicit growth, D18).</t>
  </si>
  <si>
    <t xml:space="preserve">STAGE 3 — Discounting the forecast to today's value</t>
  </si>
  <si>
    <t xml:space="preserve">Money in the future is worth less than money today, so each forecast year's cash flow is scaled down to its value today before we add them up. The scaling factor is 1 divided by (1+WACC) raised to the year number — the same simple method as the Python model (this replaces the earlier XNPV function). Multiply each year's cash flow by its factor, then add the five together to get the value of the forecast period in today's money. The terminal value — usually the larger part — is handled next.</t>
  </si>
  <si>
    <t xml:space="preserve">Discounting steps</t>
  </si>
  <si>
    <t xml:space="preserve">Time period  t  (yrs)</t>
  </si>
  <si>
    <t xml:space="preserve">How many years ahead each cash flow is: year 1 is FY27, up to year 5 in FY31.</t>
  </si>
  <si>
    <t xml:space="preserve">Discount factor  1/(1+WACC)^t</t>
  </si>
  <si>
    <t xml:space="preserve">How much ₹1 in that future year is worth today, found with 1 ÷ (1+WACC) raised to the year number. It shrinks each year, because money in hand now is worth more than the same money later.</t>
  </si>
  <si>
    <t xml:space="preserve">Unlevered FCF (from Stage 2)</t>
  </si>
  <si>
    <t xml:space="preserve">The free cash flow figures copied down from Stage 2.</t>
  </si>
  <si>
    <t xml:space="preserve">PV of FCF  (= FCF × factor)</t>
  </si>
  <si>
    <t xml:space="preserve">Each year's cash flow multiplied by its discount factor — its worth in today's money.</t>
  </si>
  <si>
    <t xml:space="preserve">PV of explicit FCFs  (add the 5)</t>
  </si>
  <si>
    <t xml:space="preserve">Simply add the five discounted cash flows together. Plain addition — no special function.</t>
  </si>
  <si>
    <t xml:space="preserve">STAGE 4 — Terminal value  (the worth of everything after FY31)</t>
  </si>
  <si>
    <t xml:space="preserve">The forecast only runs to FY31, but the company keeps going, so we estimate the value of everything after FY31 as one number and bring it back to today. We do it two ways as a check. The Gordon method assumes cash flows keep growing at a steady rate forever. The exit-multiple method assumes a buyer pays a set multiple of the final year's EBITDA. Because the terminal value is usually the largest part of the total, its assumptions deserve the most care.</t>
  </si>
  <si>
    <t xml:space="preserve">Last-year Unlevered FCF (FY31)</t>
  </si>
  <si>
    <t xml:space="preserve">The free cash flow in the final forecast year. The forever-growing value is built from this.</t>
  </si>
  <si>
    <t xml:space="preserve">Gordon TV = FCF×(1+g)/(WACC−g)</t>
  </si>
  <si>
    <t xml:space="preserve">The value, at the end of FY31, of every cash flow from FY32 onwards, assuming they grow at g forever: last cash flow × (1+g), divided by (WACC − g).</t>
  </si>
  <si>
    <t xml:space="preserve">Last-year EBITDA (EBIT + D&amp;A)</t>
  </si>
  <si>
    <t xml:space="preserve">Final-year EBIT plus depreciation. This is the figure the exit multiple is applied to.</t>
  </si>
  <si>
    <t xml:space="preserve">Exit-multiple TV = EV/EBITDA × EBITDA</t>
  </si>
  <si>
    <t xml:space="preserve">A second estimate of the same terminal value: what a buyer might pay, at 12 times the final year's EBITDA.</t>
  </si>
  <si>
    <t xml:space="preserve">Implied exit multiple from Gordon (x)</t>
  </si>
  <si>
    <t xml:space="preserve">Our Gordon value works out to about 9.4 times EBITDA — a bit lower than the 12 a buyer might pay. The two methods sit close and point the same way, which is reassuring.</t>
  </si>
  <si>
    <t xml:space="preserve">Headline terminal value (Gordon)</t>
  </si>
  <si>
    <t xml:space="preserve">We use the Gordon figure as the main number, to match the Python model. (The CFI template averages the two methods instead.)</t>
  </si>
  <si>
    <t xml:space="preserve">Discount factor, year 5</t>
  </si>
  <si>
    <t xml:space="preserve">The terminal value lands at the end of FY31, so we discount it with the year-5 factor.</t>
  </si>
  <si>
    <t xml:space="preserve">PV of terminal value</t>
  </si>
  <si>
    <t xml:space="preserve">The terminal value expressed in today's money.</t>
  </si>
  <si>
    <t xml:space="preserve">Enterprise Value = PV explicit + PV TV</t>
  </si>
  <si>
    <t xml:space="preserve">Today's value of the whole business: the 5 forecast years plus the terminal value. We compare this with the market's implied business value from Stage 1.</t>
  </si>
  <si>
    <t xml:space="preserve">% of EV from terminal value</t>
  </si>
  <si>
    <t xml:space="preserve">About 70% of the value comes from the terminal value. That is normal for a steady, long-lived company, but it is why the growth and WACC assumptions matter so much.</t>
  </si>
  <si>
    <t xml:space="preserve">STAGE 5 — From business value to a verdict on the share</t>
  </si>
  <si>
    <t xml:space="preserve">Enterprise value is the worth of the business itself. To reach what a shareholder's stake is worth, we add the company's spare cash (which shareholders also own, and which we kept out of the yearly cash flows) and subtract its debt (lenders are paid first), then divide by the number of shares. That gives the value of one share, which we compare with the current market price to judge whether the stock looks cheap or expensive. We use TCS's reported cash of ₹50,020 cr here, not the rougher ₹55,000 cr used earlier in Python.</t>
  </si>
  <si>
    <t xml:space="preserve">OUR ESTIMATE  (from the DCF)</t>
  </si>
  <si>
    <t xml:space="preserve">Enterprise Value</t>
  </si>
  <si>
    <t xml:space="preserve">The business value carried down from Stage 4.</t>
  </si>
  <si>
    <t xml:space="preserve">Plus: Cash &amp; Investments</t>
  </si>
  <si>
    <t xml:space="preserve">Shareholders own the company's spare cash on top of the business. We kept this cash out of the yearly cash flows, so we add it back now.</t>
  </si>
  <si>
    <t xml:space="preserve">Less: Debt</t>
  </si>
  <si>
    <t xml:space="preserve">Lenders are paid before shareholders, so we subtract what the company owes.</t>
  </si>
  <si>
    <t xml:space="preserve">Equity Value</t>
  </si>
  <si>
    <t xml:space="preserve">What all of TCS's shares are worth together, according to the model.</t>
  </si>
  <si>
    <t xml:space="preserve">Shares outstanding (cr)</t>
  </si>
  <si>
    <t xml:space="preserve">Number of shares, used to turn total equity into a per-share figure.</t>
  </si>
  <si>
    <t xml:space="preserve">Value per share (INR)</t>
  </si>
  <si>
    <t xml:space="preserve">Our estimate of what one share is worth. Using the Python net-cash figure it would read ₹2,116, almost exactly Python's ₹2,113; the small gap is only the different cash number.</t>
  </si>
  <si>
    <t xml:space="preserve">THE MARKET  (today)</t>
  </si>
  <si>
    <t xml:space="preserve">Current market price (INR)</t>
  </si>
  <si>
    <t xml:space="preserve">Today's market price. Update it before drawing any conclusion, since it changes daily.</t>
  </si>
  <si>
    <t xml:space="preserve">Market cap</t>
  </si>
  <si>
    <t xml:space="preserve">Share price times number of shares.</t>
  </si>
  <si>
    <t xml:space="preserve">VERDICT</t>
  </si>
  <si>
    <t xml:space="preserve">Upside / (downside) vs our value</t>
  </si>
  <si>
    <t xml:space="preserve">How far the market price is from our estimate. A negative number means the market is higher than our value, so the share looks expensive.</t>
  </si>
  <si>
    <t xml:space="preserve">Call</t>
  </si>
  <si>
    <t xml:space="preserve">Shows 'overvalued' or 'undervalued' on its own, and flips the moment you change the price or any assumption.</t>
  </si>
  <si>
    <t xml:space="preserve">Gap per share (INR)</t>
  </si>
  <si>
    <t xml:space="preserve">The difference in rupees between our value and the market price, per share.</t>
  </si>
  <si>
    <t xml:space="preserve">STAGE 6 — Working out WACC (the discount rate)</t>
  </si>
  <si>
    <t xml:space="preserve">Until now the 12.7% discount rate was just entered. Here we build it up properly. The cost of equity uses the CAPM formula: the risk-free rate plus beta times the equity risk premium, where beta is the one you measured yourself against the Nifty. The cost of debt is the borrowing rate after the tax saving on interest. We then blend the two in proportion to how much of the company's funding comes from each. TCS is almost entirely equity-funded, so the result is very close to its cost of equity. This WACC feeds back into the discount-rate cell in Stage 1, so the whole model runs on it.</t>
  </si>
  <si>
    <t xml:space="preserve">COST OF EQUITY  (what shareholders expect)</t>
  </si>
  <si>
    <t xml:space="preserve">Risk-free rate  (Rf)</t>
  </si>
  <si>
    <t xml:space="preserve">The return on a 10-year Indian government bond, treated as risk-free since the government is assumed to always repay. It is the baseline everyone expects before taking any risk.</t>
  </si>
  <si>
    <t xml:space="preserve">Beta  (β)</t>
  </si>
  <si>
    <t xml:space="preserve">How much TCS's share price moves compared with the whole market. You worked it out yourself from 5 years of weekly TCS returns against the Nifty 50. 0.938 means TCS moves a little less than the market.</t>
  </si>
  <si>
    <t xml:space="preserve">Equity risk premium  (ERP)</t>
  </si>
  <si>
    <t xml:space="preserve">The extra return investors want for holding shares rather than government bonds. About 6% is a reasonable, slightly cautious figure for large Indian companies.</t>
  </si>
  <si>
    <t xml:space="preserve">Cost of equity  Ke = Rf + β×ERP</t>
  </si>
  <si>
    <t xml:space="preserve">The return TCS's shareholders expect: risk-free rate plus beta times the equity risk premium (the CAPM formula).</t>
  </si>
  <si>
    <t xml:space="preserve">COST OF DEBT  (what lenders charge)</t>
  </si>
  <si>
    <t xml:space="preserve">Pre-tax cost of debt  (Kd)</t>
  </si>
  <si>
    <t xml:space="preserve">The interest rate TCS would pay to borrow. It is a very safe company, so this is close to the government bond rate.</t>
  </si>
  <si>
    <t xml:space="preserve">Tax rate</t>
  </si>
  <si>
    <t xml:space="preserve">Linked to the tax rate above. It is used here because interest on debt is tax-deductible, which lowers the real cost of borrowing.</t>
  </si>
  <si>
    <t xml:space="preserve">After-tax Kd = Kd×(1−tax)</t>
  </si>
  <si>
    <t xml:space="preserve">The borrowing cost after allowing for the tax saving on interest.</t>
  </si>
  <si>
    <t xml:space="preserve">MIXING THE TWO  (by market value)</t>
  </si>
  <si>
    <t xml:space="preserve">Market value of equity  (E)</t>
  </si>
  <si>
    <t xml:space="preserve">The market value of TCS's equity (its market cap). We use market value, not the accounting book value, because WACC is about what investors pay today.</t>
  </si>
  <si>
    <t xml:space="preserve">Debt  (D)</t>
  </si>
  <si>
    <t xml:space="preserve">The company's debt — just its leases.</t>
  </si>
  <si>
    <t xml:space="preserve">Total capital  V = E + D</t>
  </si>
  <si>
    <t xml:space="preserve">Equity plus debt: the total money invested in the company.</t>
  </si>
  <si>
    <t xml:space="preserve">Equity weight  E/V</t>
  </si>
  <si>
    <t xml:space="preserve">The share of funding that comes from equity — about 99%.</t>
  </si>
  <si>
    <t xml:space="preserve">Debt weight  D/V</t>
  </si>
  <si>
    <t xml:space="preserve">The tiny share from debt. Because equity dominates, WACC ends up almost equal to the cost of equity.</t>
  </si>
  <si>
    <t xml:space="preserve">WACC = E/V·Ke + D/V·Kd(after-tax)</t>
  </si>
  <si>
    <t xml:space="preserve">The blended cost of capital: each source's cost weighted by its share. This feeds the discount rate in Stage 1, so changing beta or the risk-free rate flows through the whole model.</t>
  </si>
  <si>
    <t xml:space="preserve">STAGE 7 — Sensitivity: value per share across WACC and growth</t>
  </si>
  <si>
    <t xml:space="preserve">A single value of ₹2,074 hides how sensitive the answer is to the assumptions. This grid recalculates the per-share value for every combination of WACC (across the top) and terminal growth (down the side), keeping the forecast cash flows the same. In Excel it is shaded from red to green around the ₹2,465 market price: green means our value is above the market (cheap), red means below (expensive). The honest conclusion is the overall pattern, not any single cell. The steps on the left show how to build it.</t>
  </si>
  <si>
    <t xml:space="preserve">How to build this grid yourself</t>
  </si>
  <si>
    <t xml:space="preserve">Value ₹/share</t>
  </si>
  <si>
    <t xml:space="preserve">1. Put the WACC values across one row (11.0%–14.5%, in 0.5% steps) and the terminal-growth values down one column (3.0%–6.0%).</t>
  </si>
  <si>
    <t xml:space="preserve">g ↓ \ WACC →</t>
  </si>
  <si>
    <t xml:space="preserve">2. In each cell, work out the value per share for THAT cell's WACC and growth (not the base case): add each year's cash flow ÷ (1+WACC)^year, add the terminal value ÷ (1+WACC)^5, add net cash, then divide by the number of shares.</t>
  </si>
  <si>
    <t xml:space="preserve">3. The trick is locking the right part of each reference: lock the WACC to its column heading (N$154) and the growth to its row label ($M155). One formula then copies across the whole grid, each cell picking up its own pair.</t>
  </si>
  <si>
    <t xml:space="preserve">4. Select the grid, then Home → Conditional Formatting → Colour Scales, and set the middle point to the market price so green = cheaper than our value and red = dearer.</t>
  </si>
  <si>
    <t xml:space="preserve">5. Change any forecast input and the whole grid updates, because every cell points back to the same cash-flow row.</t>
  </si>
  <si>
    <t xml:space="preserve">Base ≈ WACC 12.7%, g 5% → ₹2,074   ·   Market ₹2,465 = the colour midpoint</t>
  </si>
  <si>
    <t xml:space="preserve">TCS — DCF Valuation Summary</t>
  </si>
  <si>
    <t xml:space="preserve">All figures INR crore unless per-share · Consolidated · see 'DCF Model' sheet for workings</t>
  </si>
  <si>
    <t xml:space="preserve">Key assumptions</t>
  </si>
  <si>
    <t xml:space="preserve">WACC</t>
  </si>
  <si>
    <t xml:space="preserve">Terminal growth (g)</t>
  </si>
  <si>
    <t xml:space="preserve">Explicit growth</t>
  </si>
  <si>
    <t xml:space="preserve">Current price (INR)</t>
  </si>
  <si>
    <t xml:space="preserve">Valuation build</t>
  </si>
  <si>
    <t xml:space="preserve">PV of explicit FCFs (FY27–31)</t>
  </si>
  <si>
    <t xml:space="preserve">Result</t>
  </si>
  <si>
    <t xml:space="preserve">Value / share (INR)</t>
  </si>
  <si>
    <t xml:space="preserve">Market price / share (INR)</t>
  </si>
  <si>
    <t xml:space="preserve">Upside / (downside)</t>
  </si>
  <si>
    <t xml:space="preserve">Thesis: at the base case (WACC about 12.7%, growth 5%) TCS looks modestly overvalued. It only looks cheap at a WACC below 11.5% or growth near 6%. These figures match the Python model to the rupee through enterprise value.</t>
  </si>
</sst>
</file>

<file path=xl/styles.xml><?xml version="1.0" encoding="utf-8"?>
<styleSheet xmlns="http://schemas.openxmlformats.org/spreadsheetml/2006/main">
  <numFmts count="10">
    <numFmt numFmtId="164" formatCode="General"/>
    <numFmt numFmtId="165" formatCode="0.0%"/>
    <numFmt numFmtId="166" formatCode="0.00%"/>
    <numFmt numFmtId="167" formatCode="0.0\x"/>
    <numFmt numFmtId="168" formatCode="dd\-mmm\-yyyy"/>
    <numFmt numFmtId="169" formatCode="#,##0"/>
    <numFmt numFmtId="170" formatCode="#,##0.00"/>
    <numFmt numFmtId="171" formatCode="#,##0;\(#,##0\);\-"/>
    <numFmt numFmtId="172" formatCode="0.000"/>
    <numFmt numFmtId="173" formatCode="#,##0;\(#,##0\)"/>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i val="true"/>
      <sz val="9"/>
      <color rgb="FF1F3864"/>
      <name val="Arial"/>
      <family val="0"/>
      <charset val="1"/>
    </font>
    <font>
      <sz val="10"/>
      <name val="Arial"/>
      <family val="0"/>
      <charset val="1"/>
    </font>
    <font>
      <sz val="10"/>
      <color rgb="FF0000FF"/>
      <name val="Arial"/>
      <family val="0"/>
      <charset val="1"/>
    </font>
    <font>
      <sz val="9"/>
      <color rgb="FF375623"/>
      <name val="Arial"/>
      <family val="0"/>
      <charset val="1"/>
    </font>
    <font>
      <b val="true"/>
      <sz val="10"/>
      <color rgb="FF1F4E78"/>
      <name val="Arial"/>
      <family val="0"/>
      <charset val="1"/>
    </font>
    <font>
      <b val="true"/>
      <sz val="12"/>
      <color rgb="FF1F3864"/>
      <name val="Arial"/>
      <family val="0"/>
      <charset val="1"/>
    </font>
    <font>
      <sz val="9"/>
      <color rgb="FF333333"/>
      <name val="Arial"/>
      <family val="0"/>
      <charset val="1"/>
    </font>
    <font>
      <b val="true"/>
      <sz val="9"/>
      <color rgb="FFFFFFFF"/>
      <name val="Arial"/>
      <family val="0"/>
      <charset val="1"/>
    </font>
    <font>
      <b val="true"/>
      <sz val="9"/>
      <color rgb="FFFFFF00"/>
      <name val="Arial"/>
      <family val="0"/>
      <charset val="1"/>
    </font>
    <font>
      <b val="true"/>
      <sz val="15"/>
      <name val="Arial"/>
      <family val="0"/>
      <charset val="1"/>
    </font>
    <font>
      <sz val="10"/>
      <color rgb="FF008000"/>
      <name val="Arial"/>
      <family val="0"/>
      <charset val="1"/>
    </font>
  </fonts>
  <fills count="9">
    <fill>
      <patternFill patternType="none"/>
    </fill>
    <fill>
      <patternFill patternType="gray125"/>
    </fill>
    <fill>
      <patternFill patternType="solid">
        <fgColor rgb="FF1F4E78"/>
        <bgColor rgb="FF1F3864"/>
      </patternFill>
    </fill>
    <fill>
      <patternFill patternType="solid">
        <fgColor rgb="FFEAF1FB"/>
        <bgColor rgb="FFF2F8EE"/>
      </patternFill>
    </fill>
    <fill>
      <patternFill patternType="solid">
        <fgColor rgb="FFFFFF00"/>
        <bgColor rgb="FFFFFF00"/>
      </patternFill>
    </fill>
    <fill>
      <patternFill patternType="solid">
        <fgColor rgb="FFF2F8EE"/>
        <bgColor rgb="FFEAF1FB"/>
      </patternFill>
    </fill>
    <fill>
      <patternFill patternType="solid">
        <fgColor rgb="FFD9E1F2"/>
        <bgColor rgb="FFE2EFDA"/>
      </patternFill>
    </fill>
    <fill>
      <patternFill patternType="solid">
        <fgColor rgb="FFFFF2CC"/>
        <bgColor rgb="FFF2F8EE"/>
      </patternFill>
    </fill>
    <fill>
      <patternFill patternType="solid">
        <fgColor rgb="FFE2EFDA"/>
        <bgColor rgb="FFEAF1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5" fontId="10" fillId="4" borderId="1"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1" fillId="5"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6" fontId="9" fillId="0"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7" fontId="10" fillId="4" borderId="1" xfId="0" applyFont="true" applyBorder="true" applyAlignment="true" applyProtection="false">
      <alignment horizontal="general" vertical="center" textRotation="0" wrapText="false" indent="0" shrinkToFit="false"/>
      <protection locked="true" hidden="false"/>
    </xf>
    <xf numFmtId="168" fontId="10" fillId="0" borderId="1" xfId="0" applyFont="true" applyBorder="true" applyAlignment="true" applyProtection="false">
      <alignment horizontal="general" vertical="center" textRotation="0" wrapText="false" indent="0" shrinkToFit="false"/>
      <protection locked="true" hidden="false"/>
    </xf>
    <xf numFmtId="169" fontId="10" fillId="4" borderId="1" xfId="0" applyFont="true" applyBorder="true" applyAlignment="true" applyProtection="false">
      <alignment horizontal="general" vertical="center" textRotation="0" wrapText="false" indent="0" shrinkToFit="false"/>
      <protection locked="true" hidden="false"/>
    </xf>
    <xf numFmtId="170" fontId="10" fillId="0" borderId="1" xfId="0" applyFont="true" applyBorder="true" applyAlignment="true" applyProtection="false">
      <alignment horizontal="general" vertical="center" textRotation="0" wrapText="false" indent="0" shrinkToFit="false"/>
      <protection locked="true" hidden="false"/>
    </xf>
    <xf numFmtId="169" fontId="10" fillId="0" borderId="1" xfId="0" applyFont="true" applyBorder="true" applyAlignment="true" applyProtection="false">
      <alignment horizontal="general" vertical="center" textRotation="0" wrapText="false" indent="0" shrinkToFit="false"/>
      <protection locked="true" hidden="false"/>
    </xf>
    <xf numFmtId="169" fontId="9" fillId="0" borderId="1"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71" fontId="10" fillId="0" borderId="1" xfId="0" applyFont="true" applyBorder="true" applyAlignment="true" applyProtection="false">
      <alignment horizontal="general" vertical="center" textRotation="0" wrapText="false" indent="0" shrinkToFit="false"/>
      <protection locked="true" hidden="false"/>
    </xf>
    <xf numFmtId="171" fontId="0" fillId="0" borderId="1" xfId="0" applyFont="false" applyBorder="true" applyAlignment="true" applyProtection="false">
      <alignment horizontal="general" vertical="center" textRotation="0" wrapText="false" indent="0" shrinkToFit="false"/>
      <protection locked="true" hidden="false"/>
    </xf>
    <xf numFmtId="171" fontId="9"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71" fontId="7" fillId="6"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72" fontId="0" fillId="0" borderId="1" xfId="0" applyFont="false" applyBorder="true" applyAlignment="true" applyProtection="false">
      <alignment horizontal="general" vertical="center" textRotation="0" wrapText="false" indent="0" shrinkToFit="false"/>
      <protection locked="true" hidden="false"/>
    </xf>
    <xf numFmtId="167" fontId="9" fillId="0" borderId="1" xfId="0" applyFont="true" applyBorder="true" applyAlignment="true" applyProtection="false">
      <alignment horizontal="general" vertical="center" textRotation="0" wrapText="false" indent="0" shrinkToFit="false"/>
      <protection locked="true" hidden="false"/>
    </xf>
    <xf numFmtId="164" fontId="7" fillId="7" borderId="1" xfId="0" applyFont="true" applyBorder="true" applyAlignment="true" applyProtection="false">
      <alignment horizontal="general" vertical="center" textRotation="0" wrapText="false" indent="0" shrinkToFit="false"/>
      <protection locked="true" hidden="false"/>
    </xf>
    <xf numFmtId="171" fontId="7" fillId="7" borderId="1" xfId="0" applyFont="true" applyBorder="true" applyAlignment="true" applyProtection="false">
      <alignment horizontal="general" vertical="center" textRotation="0" wrapText="false" indent="0" shrinkToFit="false"/>
      <protection locked="true" hidden="false"/>
    </xf>
    <xf numFmtId="172" fontId="9" fillId="0" borderId="1" xfId="0" applyFont="true" applyBorder="true" applyAlignment="true" applyProtection="false">
      <alignment horizontal="general" vertical="center" textRotation="0" wrapText="false" indent="0" shrinkToFit="false"/>
      <protection locked="true" hidden="false"/>
    </xf>
    <xf numFmtId="164" fontId="7" fillId="6" borderId="1" xfId="0" applyFont="true" applyBorder="true" applyAlignment="true" applyProtection="false">
      <alignment horizontal="general" vertical="center" textRotation="0" wrapText="fals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center" textRotation="0" wrapText="false" indent="0" shrinkToFit="false"/>
      <protection locked="true" hidden="false"/>
    </xf>
    <xf numFmtId="164" fontId="13" fillId="7" borderId="1" xfId="0" applyFont="true" applyBorder="true" applyAlignment="true" applyProtection="false">
      <alignment horizontal="general" vertical="center" textRotation="0" wrapText="false" indent="0" shrinkToFit="false"/>
      <protection locked="true" hidden="false"/>
    </xf>
    <xf numFmtId="169" fontId="13" fillId="7"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4" fontId="13" fillId="8" borderId="1" xfId="0" applyFont="true" applyBorder="true" applyAlignment="true" applyProtection="false">
      <alignment horizontal="general" vertical="center" textRotation="0" wrapText="false" indent="0" shrinkToFit="false"/>
      <protection locked="true" hidden="false"/>
    </xf>
    <xf numFmtId="173" fontId="9" fillId="0" borderId="1" xfId="0" applyFont="true" applyBorder="true" applyAlignment="true" applyProtection="false">
      <alignment horizontal="general" vertical="center" textRotation="0" wrapText="false" indent="0" shrinkToFit="false"/>
      <protection locked="true" hidden="false"/>
    </xf>
    <xf numFmtId="166" fontId="10" fillId="0" borderId="1" xfId="0" applyFont="true" applyBorder="true" applyAlignment="true" applyProtection="false">
      <alignment horizontal="general" vertical="center" textRotation="0" wrapText="false" indent="0" shrinkToFit="false"/>
      <protection locked="true" hidden="false"/>
    </xf>
    <xf numFmtId="172" fontId="10" fillId="0" borderId="1" xfId="0" applyFont="true" applyBorder="true" applyAlignment="true" applyProtection="false">
      <alignment horizontal="general" vertical="center" textRotation="0" wrapText="false" indent="0" shrinkToFit="false"/>
      <protection locked="true" hidden="false"/>
    </xf>
    <xf numFmtId="166" fontId="7" fillId="6" borderId="1" xfId="0" applyFont="true" applyBorder="true" applyAlignment="true" applyProtection="false">
      <alignment horizontal="general" vertical="center" textRotation="0" wrapText="false" indent="0" shrinkToFit="false"/>
      <protection locked="true" hidden="false"/>
    </xf>
    <xf numFmtId="166" fontId="13" fillId="7" borderId="1"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5" fontId="16" fillId="2" borderId="1" xfId="0" applyFont="true" applyBorder="true" applyAlignment="true" applyProtection="false">
      <alignment horizontal="center" vertical="center" textRotation="0" wrapText="false" indent="0" shrinkToFit="false"/>
      <protection locked="true" hidden="false"/>
    </xf>
    <xf numFmtId="165" fontId="15" fillId="2" borderId="1" xfId="0" applyFont="tru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18" fillId="0"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70" fontId="18" fillId="0" borderId="1" xfId="0" applyFont="true" applyBorder="true" applyAlignment="false" applyProtection="false">
      <alignment horizontal="general" vertical="bottom" textRotation="0" wrapText="false" indent="0" shrinkToFit="false"/>
      <protection locked="true" hidden="false"/>
    </xf>
    <xf numFmtId="169" fontId="18" fillId="0" borderId="1" xfId="0" applyFont="true" applyBorder="true" applyAlignment="false" applyProtection="false">
      <alignment horizontal="general" vertical="bottom" textRotation="0" wrapText="false" indent="0" shrinkToFit="false"/>
      <protection locked="true" hidden="false"/>
    </xf>
    <xf numFmtId="171" fontId="18" fillId="0"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71" fontId="18"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9" fontId="18" fillId="7"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3" fillId="8"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1F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8EE"/>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1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5"/>
    <col collapsed="false" customWidth="true" hidden="false" outlineLevel="0" max="3" min="3" style="0" width="3"/>
    <col collapsed="false" customWidth="true" hidden="false" outlineLevel="0" max="4" min="4" style="0" width="17"/>
    <col collapsed="false" customWidth="true" hidden="false" outlineLevel="0" max="9" min="5" style="0" width="12"/>
    <col collapsed="false" customWidth="true" hidden="false" outlineLevel="0" max="10" min="10" style="0" width="3"/>
    <col collapsed="false" customWidth="true" hidden="false" outlineLevel="0" max="11" min="11" style="0" width="76"/>
    <col collapsed="false" customWidth="true" hidden="false" outlineLevel="0" max="12" min="12" style="0" width="2"/>
    <col collapsed="false" customWidth="true" hidden="false" outlineLevel="0" max="21" min="13" style="0" width="9.51"/>
  </cols>
  <sheetData>
    <row r="2" customFormat="false" ht="17.35" hidden="false" customHeight="false" outlineLevel="0" collapsed="false">
      <c r="B2" s="1" t="s">
        <v>0</v>
      </c>
    </row>
    <row r="3" customFormat="false" ht="15" hidden="false" customHeight="false" outlineLevel="0" collapsed="false">
      <c r="B3" s="2" t="s">
        <v>1</v>
      </c>
    </row>
    <row r="5" customFormat="false" ht="13.5" hidden="false" customHeight="true" outlineLevel="0" collapsed="false">
      <c r="B5" s="3" t="s">
        <v>2</v>
      </c>
      <c r="C5" s="3"/>
      <c r="D5" s="3"/>
      <c r="E5" s="3"/>
      <c r="F5" s="3"/>
      <c r="G5" s="3"/>
      <c r="H5" s="3"/>
      <c r="I5" s="3"/>
      <c r="J5" s="3"/>
    </row>
    <row r="6" customFormat="false" ht="15" hidden="false" customHeight="false" outlineLevel="0" collapsed="false">
      <c r="B6" s="2" t="s">
        <v>3</v>
      </c>
    </row>
    <row r="8" customFormat="false" ht="15.75" hidden="false" customHeight="true" outlineLevel="0" collapsed="false">
      <c r="B8" s="4" t="s">
        <v>4</v>
      </c>
      <c r="C8" s="5"/>
      <c r="D8" s="5"/>
      <c r="E8" s="5"/>
      <c r="F8" s="5"/>
      <c r="G8" s="5"/>
      <c r="H8" s="5"/>
      <c r="I8" s="5"/>
      <c r="J8" s="5"/>
      <c r="K8" s="6" t="s">
        <v>5</v>
      </c>
    </row>
    <row r="9" customFormat="false" ht="13.5" hidden="false" customHeight="true" outlineLevel="0" collapsed="false">
      <c r="B9" s="7" t="s">
        <v>6</v>
      </c>
      <c r="C9" s="7"/>
      <c r="D9" s="7"/>
      <c r="E9" s="7"/>
      <c r="F9" s="7"/>
      <c r="G9" s="7"/>
      <c r="H9" s="7"/>
      <c r="I9" s="7"/>
      <c r="J9" s="7"/>
    </row>
    <row r="10" customFormat="false" ht="13.5" hidden="false" customHeight="true" outlineLevel="0" collapsed="false">
      <c r="B10" s="7"/>
      <c r="C10" s="7"/>
      <c r="D10" s="7"/>
      <c r="E10" s="7"/>
      <c r="F10" s="7"/>
      <c r="G10" s="7"/>
      <c r="H10" s="7"/>
      <c r="I10" s="7"/>
      <c r="J10" s="7"/>
    </row>
    <row r="11" customFormat="false" ht="13.5" hidden="false" customHeight="true" outlineLevel="0" collapsed="false">
      <c r="B11" s="7"/>
      <c r="C11" s="7"/>
      <c r="D11" s="7"/>
      <c r="E11" s="7"/>
      <c r="F11" s="7"/>
      <c r="G11" s="7"/>
      <c r="H11" s="7"/>
      <c r="I11" s="7"/>
      <c r="J11" s="7"/>
    </row>
    <row r="12" customFormat="false" ht="13.5" hidden="false" customHeight="true" outlineLevel="0" collapsed="false">
      <c r="B12" s="7"/>
      <c r="C12" s="7"/>
      <c r="D12" s="7"/>
      <c r="E12" s="7"/>
      <c r="F12" s="7"/>
      <c r="G12" s="7"/>
      <c r="H12" s="7"/>
      <c r="I12" s="7"/>
      <c r="J12" s="7"/>
    </row>
    <row r="13" customFormat="false" ht="13.5" hidden="false" customHeight="true" outlineLevel="0" collapsed="false">
      <c r="B13" s="7"/>
      <c r="C13" s="7"/>
      <c r="D13" s="7"/>
      <c r="E13" s="7"/>
      <c r="F13" s="7"/>
      <c r="G13" s="7"/>
      <c r="H13" s="7"/>
      <c r="I13" s="7"/>
      <c r="J13" s="7"/>
    </row>
    <row r="15" customFormat="false" ht="43.5" hidden="false" customHeight="true" outlineLevel="0" collapsed="false">
      <c r="B15" s="8" t="s">
        <v>7</v>
      </c>
      <c r="C15" s="9"/>
      <c r="D15" s="10" t="n">
        <v>0.24</v>
      </c>
      <c r="E15" s="11"/>
      <c r="F15" s="11"/>
      <c r="G15" s="11"/>
      <c r="H15" s="11"/>
      <c r="I15" s="11"/>
      <c r="K15" s="12" t="s">
        <v>8</v>
      </c>
    </row>
    <row r="16" customFormat="false" ht="43.5" hidden="false" customHeight="true" outlineLevel="0" collapsed="false">
      <c r="B16" s="13" t="s">
        <v>9</v>
      </c>
      <c r="C16" s="9"/>
      <c r="D16" s="14" t="n">
        <f aca="false">D142</f>
        <v>0.126895744371624</v>
      </c>
      <c r="E16" s="11"/>
      <c r="F16" s="11"/>
      <c r="G16" s="11"/>
      <c r="H16" s="11"/>
      <c r="I16" s="11"/>
      <c r="K16" s="12" t="s">
        <v>10</v>
      </c>
    </row>
    <row r="17" customFormat="false" ht="43.5" hidden="false" customHeight="true" outlineLevel="0" collapsed="false">
      <c r="B17" s="13" t="s">
        <v>11</v>
      </c>
      <c r="C17" s="9"/>
      <c r="D17" s="15" t="n">
        <v>0.05</v>
      </c>
      <c r="E17" s="11"/>
      <c r="F17" s="11"/>
      <c r="G17" s="11"/>
      <c r="H17" s="11"/>
      <c r="I17" s="11"/>
      <c r="K17" s="12" t="s">
        <v>12</v>
      </c>
    </row>
    <row r="18" customFormat="false" ht="30.75" hidden="false" customHeight="true" outlineLevel="0" collapsed="false">
      <c r="B18" s="13" t="s">
        <v>13</v>
      </c>
      <c r="C18" s="9"/>
      <c r="D18" s="15" t="n">
        <v>0.06</v>
      </c>
      <c r="E18" s="11"/>
      <c r="F18" s="11"/>
      <c r="G18" s="11"/>
      <c r="H18" s="11"/>
      <c r="I18" s="11"/>
      <c r="K18" s="12" t="s">
        <v>14</v>
      </c>
    </row>
    <row r="19" customFormat="false" ht="43.5" hidden="false" customHeight="true" outlineLevel="0" collapsed="false">
      <c r="B19" s="8" t="s">
        <v>15</v>
      </c>
      <c r="C19" s="9"/>
      <c r="D19" s="16" t="n">
        <v>12</v>
      </c>
      <c r="E19" s="11"/>
      <c r="F19" s="11"/>
      <c r="G19" s="11"/>
      <c r="H19" s="11"/>
      <c r="I19" s="11"/>
      <c r="K19" s="12" t="s">
        <v>16</v>
      </c>
    </row>
    <row r="20" customFormat="false" ht="30.75" hidden="false" customHeight="true" outlineLevel="0" collapsed="false">
      <c r="B20" s="13" t="s">
        <v>17</v>
      </c>
      <c r="C20" s="9"/>
      <c r="D20" s="17" t="n">
        <v>46112</v>
      </c>
      <c r="E20" s="11"/>
      <c r="F20" s="11"/>
      <c r="G20" s="11"/>
      <c r="H20" s="11"/>
      <c r="I20" s="11"/>
      <c r="K20" s="12" t="s">
        <v>18</v>
      </c>
    </row>
    <row r="21" customFormat="false" ht="43.5" hidden="false" customHeight="true" outlineLevel="0" collapsed="false">
      <c r="B21" s="8" t="s">
        <v>19</v>
      </c>
      <c r="C21" s="9"/>
      <c r="D21" s="18" t="n">
        <v>2465</v>
      </c>
      <c r="E21" s="11"/>
      <c r="F21" s="11"/>
      <c r="G21" s="11"/>
      <c r="H21" s="11"/>
      <c r="I21" s="11"/>
      <c r="K21" s="12" t="s">
        <v>20</v>
      </c>
    </row>
    <row r="22" customFormat="false" ht="30.75" hidden="false" customHeight="true" outlineLevel="0" collapsed="false">
      <c r="B22" s="13" t="s">
        <v>21</v>
      </c>
      <c r="C22" s="9"/>
      <c r="D22" s="19" t="n">
        <v>361.81</v>
      </c>
      <c r="E22" s="11"/>
      <c r="F22" s="11"/>
      <c r="G22" s="11"/>
      <c r="H22" s="11"/>
      <c r="I22" s="11"/>
      <c r="K22" s="12" t="s">
        <v>22</v>
      </c>
    </row>
    <row r="23" customFormat="false" ht="30.75" hidden="false" customHeight="true" outlineLevel="0" collapsed="false">
      <c r="B23" s="13" t="s">
        <v>23</v>
      </c>
      <c r="C23" s="9"/>
      <c r="D23" s="20" t="n">
        <v>11283</v>
      </c>
      <c r="E23" s="11"/>
      <c r="F23" s="11"/>
      <c r="G23" s="11"/>
      <c r="H23" s="11"/>
      <c r="I23" s="11"/>
      <c r="K23" s="12" t="s">
        <v>24</v>
      </c>
    </row>
    <row r="24" customFormat="false" ht="43.5" hidden="false" customHeight="true" outlineLevel="0" collapsed="false">
      <c r="B24" s="13" t="s">
        <v>25</v>
      </c>
      <c r="C24" s="9"/>
      <c r="D24" s="20" t="n">
        <v>50020</v>
      </c>
      <c r="E24" s="11"/>
      <c r="F24" s="11"/>
      <c r="G24" s="11"/>
      <c r="H24" s="11"/>
      <c r="I24" s="11"/>
      <c r="K24" s="12" t="s">
        <v>26</v>
      </c>
    </row>
    <row r="25" customFormat="false" ht="30.75" hidden="false" customHeight="true" outlineLevel="0" collapsed="false">
      <c r="B25" s="13" t="s">
        <v>27</v>
      </c>
      <c r="C25" s="9"/>
      <c r="D25" s="20" t="n">
        <v>4146</v>
      </c>
      <c r="E25" s="11"/>
      <c r="F25" s="11"/>
      <c r="G25" s="11"/>
      <c r="H25" s="11"/>
      <c r="I25" s="11"/>
      <c r="K25" s="12" t="s">
        <v>28</v>
      </c>
    </row>
    <row r="27" customFormat="false" ht="15.75" hidden="false" customHeight="true" outlineLevel="0" collapsed="false">
      <c r="B27" s="4" t="s">
        <v>29</v>
      </c>
      <c r="C27" s="5"/>
      <c r="D27" s="5"/>
    </row>
    <row r="28" customFormat="false" ht="43.5" hidden="false" customHeight="true" outlineLevel="0" collapsed="false">
      <c r="B28" s="13" t="s">
        <v>30</v>
      </c>
      <c r="C28" s="9"/>
      <c r="D28" s="21" t="n">
        <f aca="false">D24-D23</f>
        <v>38737</v>
      </c>
      <c r="E28" s="11"/>
      <c r="F28" s="11"/>
      <c r="G28" s="11"/>
      <c r="H28" s="11"/>
      <c r="I28" s="11"/>
      <c r="K28" s="12" t="s">
        <v>31</v>
      </c>
    </row>
    <row r="29" customFormat="false" ht="30.75" hidden="false" customHeight="true" outlineLevel="0" collapsed="false">
      <c r="B29" s="13" t="s">
        <v>32</v>
      </c>
      <c r="C29" s="9"/>
      <c r="D29" s="21" t="n">
        <f aca="false">D21*D22</f>
        <v>891861.65</v>
      </c>
      <c r="E29" s="11"/>
      <c r="F29" s="11"/>
      <c r="G29" s="11"/>
      <c r="H29" s="11"/>
      <c r="I29" s="11"/>
      <c r="K29" s="12" t="s">
        <v>33</v>
      </c>
    </row>
    <row r="30" customFormat="false" ht="30.75" hidden="false" customHeight="true" outlineLevel="0" collapsed="false">
      <c r="B30" s="13" t="s">
        <v>34</v>
      </c>
      <c r="C30" s="9"/>
      <c r="D30" s="21" t="n">
        <f aca="false">D29-D28</f>
        <v>853124.65</v>
      </c>
      <c r="E30" s="11"/>
      <c r="F30" s="11"/>
      <c r="G30" s="11"/>
      <c r="H30" s="11"/>
      <c r="I30" s="11"/>
      <c r="K30" s="12" t="s">
        <v>35</v>
      </c>
    </row>
    <row r="33" customFormat="false" ht="15.75" hidden="false" customHeight="true" outlineLevel="0" collapsed="false">
      <c r="B33" s="4" t="s">
        <v>36</v>
      </c>
      <c r="C33" s="5"/>
      <c r="D33" s="5"/>
      <c r="E33" s="5"/>
      <c r="F33" s="5"/>
      <c r="G33" s="5"/>
      <c r="H33" s="5"/>
      <c r="I33" s="5"/>
      <c r="J33" s="5"/>
      <c r="K33" s="6" t="s">
        <v>5</v>
      </c>
    </row>
    <row r="34" customFormat="false" ht="15" hidden="false" customHeight="true" outlineLevel="0" collapsed="false">
      <c r="B34" s="7" t="s">
        <v>37</v>
      </c>
      <c r="C34" s="7"/>
      <c r="D34" s="7"/>
      <c r="E34" s="7"/>
      <c r="F34" s="7"/>
      <c r="G34" s="7"/>
      <c r="H34" s="7"/>
      <c r="I34" s="7"/>
      <c r="J34" s="7"/>
    </row>
    <row r="35" customFormat="false" ht="15" hidden="false" customHeight="true" outlineLevel="0" collapsed="false">
      <c r="B35" s="7"/>
      <c r="C35" s="7"/>
      <c r="D35" s="7"/>
      <c r="E35" s="7"/>
      <c r="F35" s="7"/>
      <c r="G35" s="7"/>
      <c r="H35" s="7"/>
      <c r="I35" s="7"/>
      <c r="J35" s="7"/>
    </row>
    <row r="36" customFormat="false" ht="15" hidden="false" customHeight="true" outlineLevel="0" collapsed="false">
      <c r="B36" s="7"/>
      <c r="C36" s="7"/>
      <c r="D36" s="7"/>
      <c r="E36" s="7"/>
      <c r="F36" s="7"/>
      <c r="G36" s="7"/>
      <c r="H36" s="7"/>
      <c r="I36" s="7"/>
      <c r="J36" s="7"/>
    </row>
    <row r="37" customFormat="false" ht="15" hidden="false" customHeight="true" outlineLevel="0" collapsed="false">
      <c r="B37" s="7"/>
      <c r="C37" s="7"/>
      <c r="D37" s="7"/>
      <c r="E37" s="7"/>
      <c r="F37" s="7"/>
      <c r="G37" s="7"/>
      <c r="H37" s="7"/>
      <c r="I37" s="7"/>
      <c r="J37" s="7"/>
    </row>
    <row r="38" customFormat="false" ht="15" hidden="false" customHeight="true" outlineLevel="0" collapsed="false">
      <c r="B38" s="7"/>
      <c r="C38" s="7"/>
      <c r="D38" s="7"/>
      <c r="E38" s="7"/>
      <c r="F38" s="7"/>
      <c r="G38" s="7"/>
      <c r="H38" s="7"/>
      <c r="I38" s="7"/>
      <c r="J38" s="7"/>
    </row>
    <row r="39" customFormat="false" ht="15" hidden="false" customHeight="true" outlineLevel="0" collapsed="false">
      <c r="B39" s="7"/>
      <c r="C39" s="7"/>
      <c r="D39" s="7"/>
      <c r="E39" s="7"/>
      <c r="F39" s="7"/>
      <c r="G39" s="7"/>
      <c r="H39" s="7"/>
      <c r="I39" s="7"/>
      <c r="J39" s="7"/>
    </row>
    <row r="40" customFormat="false" ht="15" hidden="false" customHeight="false" outlineLevel="0" collapsed="false">
      <c r="B40" s="2" t="s">
        <v>38</v>
      </c>
      <c r="D40" s="22" t="s">
        <v>39</v>
      </c>
      <c r="E40" s="22" t="s">
        <v>40</v>
      </c>
      <c r="F40" s="22" t="s">
        <v>41</v>
      </c>
      <c r="G40" s="22" t="s">
        <v>42</v>
      </c>
      <c r="H40" s="22" t="s">
        <v>43</v>
      </c>
      <c r="I40" s="22" t="s">
        <v>44</v>
      </c>
    </row>
    <row r="41" customFormat="false" ht="43.5" hidden="false" customHeight="true" outlineLevel="0" collapsed="false">
      <c r="B41" s="13" t="s">
        <v>45</v>
      </c>
      <c r="C41" s="11"/>
      <c r="D41" s="23" t="n">
        <v>66838</v>
      </c>
      <c r="E41" s="24" t="n">
        <f aca="false">D41*(1+$D$18)</f>
        <v>70848.28</v>
      </c>
      <c r="F41" s="24" t="n">
        <f aca="false">E41*(1+$D$18)</f>
        <v>75099.1768</v>
      </c>
      <c r="G41" s="24" t="n">
        <f aca="false">F41*(1+$D$18)</f>
        <v>79605.127408</v>
      </c>
      <c r="H41" s="24" t="n">
        <f aca="false">G41*(1+$D$18)</f>
        <v>84381.43505248</v>
      </c>
      <c r="I41" s="24" t="n">
        <f aca="false">H41*(1+$D$18)</f>
        <v>89444.3211556288</v>
      </c>
      <c r="K41" s="12" t="s">
        <v>46</v>
      </c>
    </row>
    <row r="42" customFormat="false" ht="43.5" hidden="false" customHeight="true" outlineLevel="0" collapsed="false">
      <c r="B42" s="13" t="s">
        <v>47</v>
      </c>
      <c r="C42" s="11"/>
      <c r="D42" s="24" t="n">
        <f aca="false">D41*$D$15</f>
        <v>16041.12</v>
      </c>
      <c r="E42" s="24" t="n">
        <f aca="false">E41*$D$15</f>
        <v>17003.5872</v>
      </c>
      <c r="F42" s="24" t="n">
        <f aca="false">F41*$D$15</f>
        <v>18023.802432</v>
      </c>
      <c r="G42" s="24" t="n">
        <f aca="false">G41*$D$15</f>
        <v>19105.23057792</v>
      </c>
      <c r="H42" s="24" t="n">
        <f aca="false">H41*$D$15</f>
        <v>20251.5444125952</v>
      </c>
      <c r="I42" s="24" t="n">
        <f aca="false">I41*$D$15</f>
        <v>21466.6370773509</v>
      </c>
      <c r="K42" s="12" t="s">
        <v>48</v>
      </c>
    </row>
    <row r="43" customFormat="false" ht="43.5" hidden="false" customHeight="true" outlineLevel="0" collapsed="false">
      <c r="B43" s="13" t="s">
        <v>49</v>
      </c>
      <c r="C43" s="11"/>
      <c r="D43" s="23" t="n">
        <v>5560</v>
      </c>
      <c r="E43" s="24" t="n">
        <f aca="false">D43*(1+$D$18)</f>
        <v>5893.6</v>
      </c>
      <c r="F43" s="24" t="n">
        <f aca="false">E43*(1+$D$18)</f>
        <v>6247.216</v>
      </c>
      <c r="G43" s="24" t="n">
        <f aca="false">F43*(1+$D$18)</f>
        <v>6622.04896</v>
      </c>
      <c r="H43" s="24" t="n">
        <f aca="false">G43*(1+$D$18)</f>
        <v>7019.3718976</v>
      </c>
      <c r="I43" s="24" t="n">
        <f aca="false">H43*(1+$D$18)</f>
        <v>7440.534211456</v>
      </c>
      <c r="K43" s="12" t="s">
        <v>50</v>
      </c>
    </row>
    <row r="44" customFormat="false" ht="43.5" hidden="false" customHeight="true" outlineLevel="0" collapsed="false">
      <c r="B44" s="13" t="s">
        <v>51</v>
      </c>
      <c r="C44" s="11"/>
      <c r="D44" s="25" t="n">
        <f aca="false">$D$25</f>
        <v>4146</v>
      </c>
      <c r="E44" s="24" t="n">
        <f aca="false">D44*(1+$D$18)</f>
        <v>4394.76</v>
      </c>
      <c r="F44" s="24" t="n">
        <f aca="false">E44*(1+$D$18)</f>
        <v>4658.4456</v>
      </c>
      <c r="G44" s="24" t="n">
        <f aca="false">F44*(1+$D$18)</f>
        <v>4937.952336</v>
      </c>
      <c r="H44" s="24" t="n">
        <f aca="false">G44*(1+$D$18)</f>
        <v>5234.22947616</v>
      </c>
      <c r="I44" s="24" t="n">
        <f aca="false">H44*(1+$D$18)</f>
        <v>5548.2832447296</v>
      </c>
      <c r="K44" s="12" t="s">
        <v>52</v>
      </c>
    </row>
    <row r="45" customFormat="false" ht="57" hidden="false" customHeight="true" outlineLevel="0" collapsed="false">
      <c r="B45" s="13" t="s">
        <v>53</v>
      </c>
      <c r="C45" s="11"/>
      <c r="D45" s="23" t="n">
        <v>2210</v>
      </c>
      <c r="E45" s="24" t="n">
        <f aca="false">D45*(1+$D$18)</f>
        <v>2342.6</v>
      </c>
      <c r="F45" s="24" t="n">
        <f aca="false">E45*(1+$D$18)</f>
        <v>2483.156</v>
      </c>
      <c r="G45" s="24" t="n">
        <f aca="false">F45*(1+$D$18)</f>
        <v>2632.14536</v>
      </c>
      <c r="H45" s="24" t="n">
        <f aca="false">G45*(1+$D$18)</f>
        <v>2790.0740816</v>
      </c>
      <c r="I45" s="24" t="n">
        <f aca="false">H45*(1+$D$18)</f>
        <v>2957.478526496</v>
      </c>
      <c r="K45" s="12" t="s">
        <v>54</v>
      </c>
    </row>
    <row r="46" customFormat="false" ht="43.5" hidden="false" customHeight="true" outlineLevel="0" collapsed="false">
      <c r="B46" s="26" t="s">
        <v>55</v>
      </c>
      <c r="C46" s="11"/>
      <c r="D46" s="27" t="n">
        <f aca="false">D41-D42+D43-D44-D45</f>
        <v>50000.88</v>
      </c>
      <c r="E46" s="27" t="n">
        <f aca="false">E41-E42+E43-E44-E45</f>
        <v>53000.9328</v>
      </c>
      <c r="F46" s="27" t="n">
        <f aca="false">F41-F42+F43-F44-F45</f>
        <v>56180.988768</v>
      </c>
      <c r="G46" s="27" t="n">
        <f aca="false">G41-G42+G43-G44-G45</f>
        <v>59551.84809408</v>
      </c>
      <c r="H46" s="27" t="n">
        <f aca="false">H41-H42+H43-H44-H45</f>
        <v>63124.9589797248</v>
      </c>
      <c r="I46" s="27" t="n">
        <f aca="false">I41-I42+I43-I44-I45</f>
        <v>66912.4565185083</v>
      </c>
      <c r="K46" s="12" t="s">
        <v>56</v>
      </c>
    </row>
    <row r="48" customFormat="false" ht="15" hidden="false" customHeight="false" outlineLevel="0" collapsed="false">
      <c r="B48" s="3" t="s">
        <v>57</v>
      </c>
      <c r="C48" s="3"/>
      <c r="D48" s="3"/>
      <c r="E48" s="3"/>
      <c r="F48" s="3"/>
      <c r="G48" s="3"/>
      <c r="H48" s="3"/>
      <c r="I48" s="3"/>
      <c r="J48" s="3"/>
    </row>
    <row r="51" customFormat="false" ht="15.75" hidden="false" customHeight="true" outlineLevel="0" collapsed="false">
      <c r="B51" s="4" t="s">
        <v>58</v>
      </c>
      <c r="C51" s="5"/>
      <c r="D51" s="5"/>
      <c r="E51" s="5"/>
      <c r="F51" s="5"/>
      <c r="G51" s="5"/>
      <c r="H51" s="5"/>
      <c r="I51" s="5"/>
      <c r="J51" s="5"/>
      <c r="K51" s="6" t="s">
        <v>5</v>
      </c>
    </row>
    <row r="52" customFormat="false" ht="15" hidden="false" customHeight="true" outlineLevel="0" collapsed="false">
      <c r="B52" s="7" t="s">
        <v>59</v>
      </c>
      <c r="C52" s="7"/>
      <c r="D52" s="7"/>
      <c r="E52" s="7"/>
      <c r="F52" s="7"/>
      <c r="G52" s="7"/>
      <c r="H52" s="7"/>
      <c r="I52" s="7"/>
      <c r="J52" s="7"/>
    </row>
    <row r="53" customFormat="false" ht="15" hidden="false" customHeight="true" outlineLevel="0" collapsed="false">
      <c r="B53" s="7"/>
      <c r="C53" s="7"/>
      <c r="D53" s="7"/>
      <c r="E53" s="7"/>
      <c r="F53" s="7"/>
      <c r="G53" s="7"/>
      <c r="H53" s="7"/>
      <c r="I53" s="7"/>
      <c r="J53" s="7"/>
    </row>
    <row r="54" customFormat="false" ht="15" hidden="false" customHeight="true" outlineLevel="0" collapsed="false">
      <c r="B54" s="7"/>
      <c r="C54" s="7"/>
      <c r="D54" s="7"/>
      <c r="E54" s="7"/>
      <c r="F54" s="7"/>
      <c r="G54" s="7"/>
      <c r="H54" s="7"/>
      <c r="I54" s="7"/>
      <c r="J54" s="7"/>
    </row>
    <row r="55" customFormat="false" ht="15" hidden="false" customHeight="true" outlineLevel="0" collapsed="false">
      <c r="B55" s="7"/>
      <c r="C55" s="7"/>
      <c r="D55" s="7"/>
      <c r="E55" s="7"/>
      <c r="F55" s="7"/>
      <c r="G55" s="7"/>
      <c r="H55" s="7"/>
      <c r="I55" s="7"/>
      <c r="J55" s="7"/>
    </row>
    <row r="56" customFormat="false" ht="15" hidden="false" customHeight="true" outlineLevel="0" collapsed="false">
      <c r="B56" s="7"/>
      <c r="C56" s="7"/>
      <c r="D56" s="7"/>
      <c r="E56" s="7"/>
      <c r="F56" s="7"/>
      <c r="G56" s="7"/>
      <c r="H56" s="7"/>
      <c r="I56" s="7"/>
      <c r="J56" s="7"/>
    </row>
    <row r="58" customFormat="false" ht="15" hidden="false" customHeight="false" outlineLevel="0" collapsed="false">
      <c r="B58" s="2" t="s">
        <v>60</v>
      </c>
      <c r="E58" s="22" t="s">
        <v>40</v>
      </c>
      <c r="F58" s="22" t="s">
        <v>41</v>
      </c>
      <c r="G58" s="22" t="s">
        <v>42</v>
      </c>
      <c r="H58" s="22" t="s">
        <v>43</v>
      </c>
      <c r="I58" s="22" t="s">
        <v>44</v>
      </c>
    </row>
    <row r="59" customFormat="false" ht="24" hidden="false" customHeight="true" outlineLevel="0" collapsed="false">
      <c r="B59" s="13" t="s">
        <v>61</v>
      </c>
      <c r="C59" s="11"/>
      <c r="D59" s="11"/>
      <c r="E59" s="28" t="n">
        <v>1</v>
      </c>
      <c r="F59" s="9" t="n">
        <f aca="false">E59+1</f>
        <v>2</v>
      </c>
      <c r="G59" s="9" t="n">
        <f aca="false">F59+1</f>
        <v>3</v>
      </c>
      <c r="H59" s="9" t="n">
        <f aca="false">G59+1</f>
        <v>4</v>
      </c>
      <c r="I59" s="9" t="n">
        <f aca="false">H59+1</f>
        <v>5</v>
      </c>
      <c r="K59" s="12" t="s">
        <v>62</v>
      </c>
    </row>
    <row r="60" customFormat="false" ht="43.5" hidden="false" customHeight="true" outlineLevel="0" collapsed="false">
      <c r="B60" s="13" t="s">
        <v>63</v>
      </c>
      <c r="C60" s="11"/>
      <c r="D60" s="11"/>
      <c r="E60" s="29" t="n">
        <f aca="false">1/(1+$D$16)^E59</f>
        <v>0.887393536620033</v>
      </c>
      <c r="F60" s="29" t="n">
        <f aca="false">1/(1+$D$16)^F59</f>
        <v>0.78746728883501</v>
      </c>
      <c r="G60" s="29" t="n">
        <f aca="false">1/(1+$D$16)^G59</f>
        <v>0.698793382411888</v>
      </c>
      <c r="H60" s="29" t="n">
        <f aca="false">1/(1+$D$16)^H59</f>
        <v>0.62010473098516</v>
      </c>
      <c r="I60" s="29" t="n">
        <f aca="false">1/(1+$D$16)^I59</f>
        <v>0.550276930303736</v>
      </c>
      <c r="K60" s="12" t="s">
        <v>64</v>
      </c>
    </row>
    <row r="61" customFormat="false" ht="24" hidden="false" customHeight="true" outlineLevel="0" collapsed="false">
      <c r="B61" s="13" t="s">
        <v>65</v>
      </c>
      <c r="C61" s="11"/>
      <c r="D61" s="11"/>
      <c r="E61" s="24" t="n">
        <f aca="false">E46</f>
        <v>53000.9328</v>
      </c>
      <c r="F61" s="24" t="n">
        <f aca="false">F46</f>
        <v>56180.988768</v>
      </c>
      <c r="G61" s="24" t="n">
        <f aca="false">G46</f>
        <v>59551.84809408</v>
      </c>
      <c r="H61" s="24" t="n">
        <f aca="false">H46</f>
        <v>63124.9589797248</v>
      </c>
      <c r="I61" s="24" t="n">
        <f aca="false">I46</f>
        <v>66912.4565185083</v>
      </c>
      <c r="K61" s="12" t="s">
        <v>66</v>
      </c>
    </row>
    <row r="62" customFormat="false" ht="30.75" hidden="false" customHeight="true" outlineLevel="0" collapsed="false">
      <c r="B62" s="13" t="s">
        <v>67</v>
      </c>
      <c r="C62" s="11"/>
      <c r="D62" s="11"/>
      <c r="E62" s="24" t="n">
        <f aca="false">E61*E60</f>
        <v>47032.6852015527</v>
      </c>
      <c r="F62" s="24" t="n">
        <f aca="false">F61*F60</f>
        <v>44240.6909092071</v>
      </c>
      <c r="G62" s="24" t="n">
        <f aca="false">G61*G60</f>
        <v>41614.4373585411</v>
      </c>
      <c r="H62" s="24" t="n">
        <f aca="false">H61*H60</f>
        <v>39144.0857065715</v>
      </c>
      <c r="I62" s="24" t="n">
        <f aca="false">I61*I60</f>
        <v>36820.3811720869</v>
      </c>
      <c r="K62" s="12" t="s">
        <v>68</v>
      </c>
    </row>
    <row r="64" customFormat="false" ht="30.75" hidden="false" customHeight="true" outlineLevel="0" collapsed="false">
      <c r="B64" s="26" t="s">
        <v>69</v>
      </c>
      <c r="C64" s="9"/>
      <c r="D64" s="27" t="n">
        <f aca="false">SUM(E62:I62)</f>
        <v>208852.280347959</v>
      </c>
      <c r="E64" s="11"/>
      <c r="F64" s="11"/>
      <c r="G64" s="11"/>
      <c r="H64" s="11"/>
      <c r="I64" s="11"/>
      <c r="K64" s="12" t="s">
        <v>70</v>
      </c>
    </row>
    <row r="67" customFormat="false" ht="15.75" hidden="false" customHeight="true" outlineLevel="0" collapsed="false">
      <c r="B67" s="4" t="s">
        <v>71</v>
      </c>
      <c r="C67" s="5"/>
      <c r="D67" s="5"/>
      <c r="E67" s="5"/>
      <c r="F67" s="5"/>
      <c r="G67" s="5"/>
      <c r="H67" s="5"/>
      <c r="I67" s="5"/>
      <c r="J67" s="5"/>
      <c r="K67" s="6" t="s">
        <v>5</v>
      </c>
    </row>
    <row r="68" customFormat="false" ht="13.5" hidden="false" customHeight="true" outlineLevel="0" collapsed="false">
      <c r="B68" s="7" t="s">
        <v>72</v>
      </c>
      <c r="C68" s="7"/>
      <c r="D68" s="7"/>
      <c r="E68" s="7"/>
      <c r="F68" s="7"/>
      <c r="G68" s="7"/>
      <c r="H68" s="7"/>
      <c r="I68" s="7"/>
      <c r="J68" s="7"/>
    </row>
    <row r="69" customFormat="false" ht="13.5" hidden="false" customHeight="true" outlineLevel="0" collapsed="false">
      <c r="B69" s="7"/>
      <c r="C69" s="7"/>
      <c r="D69" s="7"/>
      <c r="E69" s="7"/>
      <c r="F69" s="7"/>
      <c r="G69" s="7"/>
      <c r="H69" s="7"/>
      <c r="I69" s="7"/>
      <c r="J69" s="7"/>
    </row>
    <row r="70" customFormat="false" ht="13.5" hidden="false" customHeight="true" outlineLevel="0" collapsed="false">
      <c r="B70" s="7"/>
      <c r="C70" s="7"/>
      <c r="D70" s="7"/>
      <c r="E70" s="7"/>
      <c r="F70" s="7"/>
      <c r="G70" s="7"/>
      <c r="H70" s="7"/>
      <c r="I70" s="7"/>
      <c r="J70" s="7"/>
    </row>
    <row r="71" customFormat="false" ht="13.5" hidden="false" customHeight="true" outlineLevel="0" collapsed="false">
      <c r="B71" s="7"/>
      <c r="C71" s="7"/>
      <c r="D71" s="7"/>
      <c r="E71" s="7"/>
      <c r="F71" s="7"/>
      <c r="G71" s="7"/>
      <c r="H71" s="7"/>
      <c r="I71" s="7"/>
      <c r="J71" s="7"/>
    </row>
    <row r="72" customFormat="false" ht="13.5" hidden="false" customHeight="true" outlineLevel="0" collapsed="false">
      <c r="B72" s="7"/>
      <c r="C72" s="7"/>
      <c r="D72" s="7"/>
      <c r="E72" s="7"/>
      <c r="F72" s="7"/>
      <c r="G72" s="7"/>
      <c r="H72" s="7"/>
      <c r="I72" s="7"/>
      <c r="J72" s="7"/>
    </row>
    <row r="73" customFormat="false" ht="13.5" hidden="false" customHeight="true" outlineLevel="0" collapsed="false">
      <c r="B73" s="7"/>
      <c r="C73" s="7"/>
      <c r="D73" s="7"/>
      <c r="E73" s="7"/>
      <c r="F73" s="7"/>
      <c r="G73" s="7"/>
      <c r="H73" s="7"/>
      <c r="I73" s="7"/>
      <c r="J73" s="7"/>
    </row>
    <row r="75" customFormat="false" ht="30.75" hidden="false" customHeight="true" outlineLevel="0" collapsed="false">
      <c r="B75" s="13" t="s">
        <v>73</v>
      </c>
      <c r="C75" s="9"/>
      <c r="D75" s="25" t="n">
        <f aca="false">I46</f>
        <v>66912.4565185083</v>
      </c>
      <c r="E75" s="11"/>
      <c r="F75" s="11"/>
      <c r="G75" s="11"/>
      <c r="H75" s="11"/>
      <c r="I75" s="11"/>
      <c r="K75" s="12" t="s">
        <v>74</v>
      </c>
    </row>
    <row r="76" customFormat="false" ht="30.75" hidden="false" customHeight="true" outlineLevel="0" collapsed="false">
      <c r="B76" s="13" t="s">
        <v>75</v>
      </c>
      <c r="C76" s="9"/>
      <c r="D76" s="25" t="n">
        <f aca="false">I46*(1+$D$17)/($D$16-$D$17)</f>
        <v>913679.683037962</v>
      </c>
      <c r="E76" s="11"/>
      <c r="F76" s="11"/>
      <c r="G76" s="11"/>
      <c r="H76" s="11"/>
      <c r="I76" s="11"/>
      <c r="K76" s="12" t="s">
        <v>76</v>
      </c>
    </row>
    <row r="77" customFormat="false" ht="30.75" hidden="false" customHeight="true" outlineLevel="0" collapsed="false">
      <c r="B77" s="13" t="s">
        <v>77</v>
      </c>
      <c r="C77" s="9"/>
      <c r="D77" s="25" t="n">
        <f aca="false">I41+I43</f>
        <v>96884.8553670848</v>
      </c>
      <c r="E77" s="11"/>
      <c r="F77" s="11"/>
      <c r="G77" s="11"/>
      <c r="H77" s="11"/>
      <c r="I77" s="11"/>
      <c r="K77" s="12" t="s">
        <v>78</v>
      </c>
    </row>
    <row r="78" customFormat="false" ht="30.75" hidden="false" customHeight="true" outlineLevel="0" collapsed="false">
      <c r="B78" s="13" t="s">
        <v>79</v>
      </c>
      <c r="C78" s="9"/>
      <c r="D78" s="25" t="n">
        <f aca="false">$D$19*D77</f>
        <v>1162618.26440502</v>
      </c>
      <c r="E78" s="11"/>
      <c r="F78" s="11"/>
      <c r="G78" s="11"/>
      <c r="H78" s="11"/>
      <c r="I78" s="11"/>
      <c r="K78" s="12" t="s">
        <v>80</v>
      </c>
    </row>
    <row r="79" customFormat="false" ht="43.5" hidden="false" customHeight="true" outlineLevel="0" collapsed="false">
      <c r="B79" s="13" t="s">
        <v>81</v>
      </c>
      <c r="C79" s="9"/>
      <c r="D79" s="30" t="n">
        <f aca="false">D76/D77</f>
        <v>9.43057281322392</v>
      </c>
      <c r="E79" s="11"/>
      <c r="F79" s="11"/>
      <c r="G79" s="11"/>
      <c r="H79" s="11"/>
      <c r="I79" s="11"/>
      <c r="K79" s="12" t="s">
        <v>82</v>
      </c>
    </row>
    <row r="81" customFormat="false" ht="30.75" hidden="false" customHeight="true" outlineLevel="0" collapsed="false">
      <c r="B81" s="31" t="s">
        <v>83</v>
      </c>
      <c r="C81" s="9"/>
      <c r="D81" s="32" t="n">
        <f aca="false">D76</f>
        <v>913679.683037962</v>
      </c>
      <c r="E81" s="11"/>
      <c r="F81" s="11"/>
      <c r="G81" s="11"/>
      <c r="H81" s="11"/>
      <c r="I81" s="11"/>
      <c r="K81" s="12" t="s">
        <v>84</v>
      </c>
    </row>
    <row r="82" customFormat="false" ht="30.75" hidden="false" customHeight="true" outlineLevel="0" collapsed="false">
      <c r="B82" s="13" t="s">
        <v>85</v>
      </c>
      <c r="C82" s="9"/>
      <c r="D82" s="33" t="n">
        <f aca="false">1/(1+$D$16)^5</f>
        <v>0.550276930303736</v>
      </c>
      <c r="E82" s="11"/>
      <c r="F82" s="11"/>
      <c r="G82" s="11"/>
      <c r="H82" s="11"/>
      <c r="I82" s="11"/>
      <c r="K82" s="12" t="s">
        <v>86</v>
      </c>
    </row>
    <row r="83" customFormat="false" ht="24" hidden="false" customHeight="true" outlineLevel="0" collapsed="false">
      <c r="B83" s="34" t="s">
        <v>87</v>
      </c>
      <c r="C83" s="9"/>
      <c r="D83" s="27" t="n">
        <f aca="false">D81*D82</f>
        <v>502776.85126302</v>
      </c>
      <c r="E83" s="11"/>
      <c r="F83" s="11"/>
      <c r="G83" s="11"/>
      <c r="H83" s="11"/>
      <c r="I83" s="11"/>
      <c r="K83" s="12" t="s">
        <v>88</v>
      </c>
    </row>
    <row r="85" customFormat="false" ht="30.75" hidden="false" customHeight="true" outlineLevel="0" collapsed="false">
      <c r="B85" s="31" t="s">
        <v>89</v>
      </c>
      <c r="C85" s="9"/>
      <c r="D85" s="32" t="n">
        <f aca="false">D64+D83</f>
        <v>711629.131610979</v>
      </c>
      <c r="E85" s="11"/>
      <c r="F85" s="11"/>
      <c r="G85" s="11"/>
      <c r="H85" s="11"/>
      <c r="I85" s="11"/>
      <c r="K85" s="12" t="s">
        <v>90</v>
      </c>
    </row>
    <row r="86" customFormat="false" ht="30.75" hidden="false" customHeight="true" outlineLevel="0" collapsed="false">
      <c r="B86" s="13" t="s">
        <v>91</v>
      </c>
      <c r="C86" s="9"/>
      <c r="D86" s="35" t="n">
        <f aca="false">D83/D85</f>
        <v>0.706515274500973</v>
      </c>
      <c r="E86" s="11"/>
      <c r="F86" s="11"/>
      <c r="G86" s="11"/>
      <c r="H86" s="11"/>
      <c r="I86" s="11"/>
      <c r="K86" s="12" t="s">
        <v>92</v>
      </c>
    </row>
    <row r="89" customFormat="false" ht="15.75" hidden="false" customHeight="true" outlineLevel="0" collapsed="false">
      <c r="B89" s="4" t="s">
        <v>93</v>
      </c>
      <c r="C89" s="5"/>
      <c r="D89" s="5"/>
      <c r="E89" s="5"/>
      <c r="F89" s="5"/>
      <c r="G89" s="5"/>
      <c r="H89" s="5"/>
      <c r="I89" s="5"/>
      <c r="J89" s="5"/>
      <c r="K89" s="6" t="s">
        <v>5</v>
      </c>
    </row>
    <row r="90" customFormat="false" ht="13.5" hidden="false" customHeight="true" outlineLevel="0" collapsed="false">
      <c r="B90" s="7" t="s">
        <v>94</v>
      </c>
      <c r="C90" s="7"/>
      <c r="D90" s="7"/>
      <c r="E90" s="7"/>
      <c r="F90" s="7"/>
      <c r="G90" s="7"/>
      <c r="H90" s="7"/>
      <c r="I90" s="7"/>
      <c r="J90" s="7"/>
    </row>
    <row r="91" customFormat="false" ht="13.5" hidden="false" customHeight="true" outlineLevel="0" collapsed="false">
      <c r="B91" s="7"/>
      <c r="C91" s="7"/>
      <c r="D91" s="7"/>
      <c r="E91" s="7"/>
      <c r="F91" s="7"/>
      <c r="G91" s="7"/>
      <c r="H91" s="7"/>
      <c r="I91" s="7"/>
      <c r="J91" s="7"/>
    </row>
    <row r="92" customFormat="false" ht="13.5" hidden="false" customHeight="true" outlineLevel="0" collapsed="false">
      <c r="B92" s="7"/>
      <c r="C92" s="7"/>
      <c r="D92" s="7"/>
      <c r="E92" s="7"/>
      <c r="F92" s="7"/>
      <c r="G92" s="7"/>
      <c r="H92" s="7"/>
      <c r="I92" s="7"/>
      <c r="J92" s="7"/>
    </row>
    <row r="93" customFormat="false" ht="13.5" hidden="false" customHeight="true" outlineLevel="0" collapsed="false">
      <c r="B93" s="7"/>
      <c r="C93" s="7"/>
      <c r="D93" s="7"/>
      <c r="E93" s="7"/>
      <c r="F93" s="7"/>
      <c r="G93" s="7"/>
      <c r="H93" s="7"/>
      <c r="I93" s="7"/>
      <c r="J93" s="7"/>
    </row>
    <row r="94" customFormat="false" ht="13.5" hidden="false" customHeight="true" outlineLevel="0" collapsed="false">
      <c r="B94" s="7"/>
      <c r="C94" s="7"/>
      <c r="D94" s="7"/>
      <c r="E94" s="7"/>
      <c r="F94" s="7"/>
      <c r="G94" s="7"/>
      <c r="H94" s="7"/>
      <c r="I94" s="7"/>
      <c r="J94" s="7"/>
    </row>
    <row r="95" customFormat="false" ht="13.5" hidden="false" customHeight="true" outlineLevel="0" collapsed="false">
      <c r="B95" s="7"/>
      <c r="C95" s="7"/>
      <c r="D95" s="7"/>
      <c r="E95" s="7"/>
      <c r="F95" s="7"/>
      <c r="G95" s="7"/>
      <c r="H95" s="7"/>
      <c r="I95" s="7"/>
      <c r="J95" s="7"/>
    </row>
    <row r="97" customFormat="false" ht="15" hidden="false" customHeight="false" outlineLevel="0" collapsed="false">
      <c r="B97" s="36" t="s">
        <v>95</v>
      </c>
    </row>
    <row r="98" customFormat="false" ht="24" hidden="false" customHeight="true" outlineLevel="0" collapsed="false">
      <c r="B98" s="13" t="s">
        <v>96</v>
      </c>
      <c r="C98" s="9"/>
      <c r="D98" s="25" t="n">
        <f aca="false">D85</f>
        <v>711629.131610979</v>
      </c>
      <c r="E98" s="11"/>
      <c r="F98" s="11"/>
      <c r="G98" s="11"/>
      <c r="H98" s="11"/>
      <c r="I98" s="11"/>
      <c r="K98" s="12" t="s">
        <v>97</v>
      </c>
    </row>
    <row r="99" customFormat="false" ht="30.75" hidden="false" customHeight="true" outlineLevel="0" collapsed="false">
      <c r="B99" s="13" t="s">
        <v>98</v>
      </c>
      <c r="C99" s="9"/>
      <c r="D99" s="25" t="n">
        <f aca="false">D24</f>
        <v>50020</v>
      </c>
      <c r="E99" s="11"/>
      <c r="F99" s="11"/>
      <c r="G99" s="11"/>
      <c r="H99" s="11"/>
      <c r="I99" s="11"/>
      <c r="K99" s="12" t="s">
        <v>99</v>
      </c>
    </row>
    <row r="100" customFormat="false" ht="24" hidden="false" customHeight="true" outlineLevel="0" collapsed="false">
      <c r="B100" s="13" t="s">
        <v>100</v>
      </c>
      <c r="C100" s="9"/>
      <c r="D100" s="25" t="n">
        <f aca="false">D23</f>
        <v>11283</v>
      </c>
      <c r="E100" s="11"/>
      <c r="F100" s="11"/>
      <c r="G100" s="11"/>
      <c r="H100" s="11"/>
      <c r="I100" s="11"/>
      <c r="K100" s="12" t="s">
        <v>101</v>
      </c>
    </row>
    <row r="101" customFormat="false" ht="24" hidden="false" customHeight="true" outlineLevel="0" collapsed="false">
      <c r="B101" s="34" t="s">
        <v>102</v>
      </c>
      <c r="C101" s="9"/>
      <c r="D101" s="27" t="n">
        <f aca="false">D98+D99-D100</f>
        <v>750366.131610979</v>
      </c>
      <c r="E101" s="11"/>
      <c r="F101" s="11"/>
      <c r="G101" s="11"/>
      <c r="H101" s="11"/>
      <c r="I101" s="11"/>
      <c r="K101" s="12" t="s">
        <v>103</v>
      </c>
    </row>
    <row r="102" customFormat="false" ht="24" hidden="false" customHeight="true" outlineLevel="0" collapsed="false">
      <c r="B102" s="13" t="s">
        <v>104</v>
      </c>
      <c r="C102" s="9"/>
      <c r="D102" s="37" t="n">
        <f aca="false">D22</f>
        <v>361.81</v>
      </c>
      <c r="E102" s="11"/>
      <c r="F102" s="11"/>
      <c r="G102" s="11"/>
      <c r="H102" s="11"/>
      <c r="I102" s="11"/>
      <c r="K102" s="12" t="s">
        <v>105</v>
      </c>
    </row>
    <row r="103" customFormat="false" ht="43.5" hidden="false" customHeight="true" outlineLevel="0" collapsed="false">
      <c r="B103" s="38" t="s">
        <v>106</v>
      </c>
      <c r="C103" s="9"/>
      <c r="D103" s="39" t="n">
        <f aca="false">D101/D102</f>
        <v>2073.92314090539</v>
      </c>
      <c r="E103" s="11"/>
      <c r="F103" s="11"/>
      <c r="G103" s="11"/>
      <c r="H103" s="11"/>
      <c r="I103" s="11"/>
      <c r="K103" s="12" t="s">
        <v>107</v>
      </c>
    </row>
    <row r="105" customFormat="false" ht="15" hidden="false" customHeight="false" outlineLevel="0" collapsed="false">
      <c r="B105" s="36" t="s">
        <v>108</v>
      </c>
    </row>
    <row r="106" customFormat="false" ht="30.75" hidden="false" customHeight="true" outlineLevel="0" collapsed="false">
      <c r="B106" s="13" t="s">
        <v>109</v>
      </c>
      <c r="C106" s="9"/>
      <c r="D106" s="21" t="n">
        <f aca="false">D21</f>
        <v>2465</v>
      </c>
      <c r="E106" s="11"/>
      <c r="F106" s="11"/>
      <c r="G106" s="11"/>
      <c r="H106" s="11"/>
      <c r="I106" s="11"/>
      <c r="K106" s="12" t="s">
        <v>110</v>
      </c>
    </row>
    <row r="107" customFormat="false" ht="24" hidden="false" customHeight="true" outlineLevel="0" collapsed="false">
      <c r="B107" s="13" t="s">
        <v>111</v>
      </c>
      <c r="C107" s="9"/>
      <c r="D107" s="25" t="n">
        <f aca="false">D29</f>
        <v>891861.65</v>
      </c>
      <c r="E107" s="11"/>
      <c r="F107" s="11"/>
      <c r="G107" s="11"/>
      <c r="H107" s="11"/>
      <c r="I107" s="11"/>
      <c r="K107" s="12" t="s">
        <v>112</v>
      </c>
    </row>
    <row r="109" customFormat="false" ht="15" hidden="false" customHeight="false" outlineLevel="0" collapsed="false">
      <c r="B109" s="36" t="s">
        <v>113</v>
      </c>
    </row>
    <row r="110" customFormat="false" ht="30.75" hidden="false" customHeight="true" outlineLevel="0" collapsed="false">
      <c r="B110" s="26" t="s">
        <v>114</v>
      </c>
      <c r="C110" s="9"/>
      <c r="D110" s="40" t="n">
        <f aca="false">D103/D106-1</f>
        <v>-0.158651869815257</v>
      </c>
      <c r="E110" s="11"/>
      <c r="F110" s="11"/>
      <c r="G110" s="11"/>
      <c r="H110" s="11"/>
      <c r="I110" s="11"/>
      <c r="K110" s="12" t="s">
        <v>115</v>
      </c>
    </row>
    <row r="111" customFormat="false" ht="30.75" hidden="false" customHeight="true" outlineLevel="0" collapsed="false">
      <c r="B111" s="26" t="s">
        <v>116</v>
      </c>
      <c r="C111" s="9"/>
      <c r="D111" s="41" t="str">
        <f aca="false">IF(D103&gt;D106,"UNDERVALUED","OVERVALUED")</f>
        <v>OVERVALUED</v>
      </c>
      <c r="E111" s="11"/>
      <c r="F111" s="11"/>
      <c r="G111" s="11"/>
      <c r="H111" s="11"/>
      <c r="I111" s="11"/>
      <c r="K111" s="12" t="s">
        <v>117</v>
      </c>
    </row>
    <row r="112" customFormat="false" ht="24" hidden="false" customHeight="true" outlineLevel="0" collapsed="false">
      <c r="B112" s="13" t="s">
        <v>118</v>
      </c>
      <c r="C112" s="9"/>
      <c r="D112" s="42" t="n">
        <f aca="false">D103-D106</f>
        <v>-391.07685909461</v>
      </c>
      <c r="E112" s="11"/>
      <c r="F112" s="11"/>
      <c r="G112" s="11"/>
      <c r="H112" s="11"/>
      <c r="I112" s="11"/>
      <c r="K112" s="12" t="s">
        <v>119</v>
      </c>
    </row>
    <row r="115" customFormat="false" ht="15.75" hidden="false" customHeight="true" outlineLevel="0" collapsed="false">
      <c r="B115" s="4" t="s">
        <v>120</v>
      </c>
      <c r="C115" s="5"/>
      <c r="D115" s="5"/>
      <c r="E115" s="5"/>
      <c r="F115" s="5"/>
      <c r="G115" s="5"/>
      <c r="H115" s="5"/>
      <c r="I115" s="5"/>
      <c r="J115" s="5"/>
      <c r="K115" s="6" t="s">
        <v>5</v>
      </c>
    </row>
    <row r="116" customFormat="false" ht="13.5" hidden="false" customHeight="true" outlineLevel="0" collapsed="false">
      <c r="B116" s="7" t="s">
        <v>121</v>
      </c>
      <c r="C116" s="7"/>
      <c r="D116" s="7"/>
      <c r="E116" s="7"/>
      <c r="F116" s="7"/>
      <c r="G116" s="7"/>
      <c r="H116" s="7"/>
      <c r="I116" s="7"/>
      <c r="J116" s="7"/>
    </row>
    <row r="117" customFormat="false" ht="13.5" hidden="false" customHeight="true" outlineLevel="0" collapsed="false">
      <c r="B117" s="7"/>
      <c r="C117" s="7"/>
      <c r="D117" s="7"/>
      <c r="E117" s="7"/>
      <c r="F117" s="7"/>
      <c r="G117" s="7"/>
      <c r="H117" s="7"/>
      <c r="I117" s="7"/>
      <c r="J117" s="7"/>
    </row>
    <row r="118" customFormat="false" ht="13.5" hidden="false" customHeight="true" outlineLevel="0" collapsed="false">
      <c r="B118" s="7"/>
      <c r="C118" s="7"/>
      <c r="D118" s="7"/>
      <c r="E118" s="7"/>
      <c r="F118" s="7"/>
      <c r="G118" s="7"/>
      <c r="H118" s="7"/>
      <c r="I118" s="7"/>
      <c r="J118" s="7"/>
    </row>
    <row r="119" customFormat="false" ht="13.5" hidden="false" customHeight="true" outlineLevel="0" collapsed="false">
      <c r="B119" s="7"/>
      <c r="C119" s="7"/>
      <c r="D119" s="7"/>
      <c r="E119" s="7"/>
      <c r="F119" s="7"/>
      <c r="G119" s="7"/>
      <c r="H119" s="7"/>
      <c r="I119" s="7"/>
      <c r="J119" s="7"/>
    </row>
    <row r="120" customFormat="false" ht="13.5" hidden="false" customHeight="true" outlineLevel="0" collapsed="false">
      <c r="B120" s="7"/>
      <c r="C120" s="7"/>
      <c r="D120" s="7"/>
      <c r="E120" s="7"/>
      <c r="F120" s="7"/>
      <c r="G120" s="7"/>
      <c r="H120" s="7"/>
      <c r="I120" s="7"/>
      <c r="J120" s="7"/>
    </row>
    <row r="121" customFormat="false" ht="13.5" hidden="false" customHeight="true" outlineLevel="0" collapsed="false">
      <c r="B121" s="7"/>
      <c r="C121" s="7"/>
      <c r="D121" s="7"/>
      <c r="E121" s="7"/>
      <c r="F121" s="7"/>
      <c r="G121" s="7"/>
      <c r="H121" s="7"/>
      <c r="I121" s="7"/>
      <c r="J121" s="7"/>
    </row>
    <row r="122" customFormat="false" ht="13.5" hidden="false" customHeight="true" outlineLevel="0" collapsed="false">
      <c r="B122" s="7"/>
      <c r="C122" s="7"/>
      <c r="D122" s="7"/>
      <c r="E122" s="7"/>
      <c r="F122" s="7"/>
      <c r="G122" s="7"/>
      <c r="H122" s="7"/>
      <c r="I122" s="7"/>
      <c r="J122" s="7"/>
    </row>
    <row r="124" customFormat="false" ht="15" hidden="false" customHeight="false" outlineLevel="0" collapsed="false">
      <c r="B124" s="36" t="s">
        <v>122</v>
      </c>
    </row>
    <row r="125" customFormat="false" ht="43.5" hidden="false" customHeight="true" outlineLevel="0" collapsed="false">
      <c r="B125" s="13" t="s">
        <v>123</v>
      </c>
      <c r="C125" s="9"/>
      <c r="D125" s="43" t="n">
        <v>0.0715</v>
      </c>
      <c r="E125" s="11"/>
      <c r="F125" s="11"/>
      <c r="G125" s="11"/>
      <c r="H125" s="11"/>
      <c r="I125" s="11"/>
      <c r="K125" s="12" t="s">
        <v>124</v>
      </c>
    </row>
    <row r="126" customFormat="false" ht="43.5" hidden="false" customHeight="true" outlineLevel="0" collapsed="false">
      <c r="B126" s="13" t="s">
        <v>125</v>
      </c>
      <c r="C126" s="9"/>
      <c r="D126" s="44" t="n">
        <v>0.938</v>
      </c>
      <c r="E126" s="11"/>
      <c r="F126" s="11"/>
      <c r="G126" s="11"/>
      <c r="H126" s="11"/>
      <c r="I126" s="11"/>
      <c r="K126" s="12" t="s">
        <v>126</v>
      </c>
    </row>
    <row r="127" customFormat="false" ht="30.75" hidden="false" customHeight="true" outlineLevel="0" collapsed="false">
      <c r="B127" s="13" t="s">
        <v>127</v>
      </c>
      <c r="C127" s="9"/>
      <c r="D127" s="43" t="n">
        <v>0.06</v>
      </c>
      <c r="E127" s="11"/>
      <c r="F127" s="11"/>
      <c r="G127" s="11"/>
      <c r="H127" s="11"/>
      <c r="I127" s="11"/>
      <c r="K127" s="12" t="s">
        <v>128</v>
      </c>
    </row>
    <row r="128" customFormat="false" ht="30.75" hidden="false" customHeight="true" outlineLevel="0" collapsed="false">
      <c r="B128" s="34" t="s">
        <v>129</v>
      </c>
      <c r="C128" s="9"/>
      <c r="D128" s="45" t="n">
        <f aca="false">D125+D126*D127</f>
        <v>0.12778</v>
      </c>
      <c r="E128" s="11"/>
      <c r="F128" s="11"/>
      <c r="G128" s="11"/>
      <c r="H128" s="11"/>
      <c r="I128" s="11"/>
      <c r="K128" s="12" t="s">
        <v>130</v>
      </c>
    </row>
    <row r="130" customFormat="false" ht="15" hidden="false" customHeight="false" outlineLevel="0" collapsed="false">
      <c r="B130" s="36" t="s">
        <v>131</v>
      </c>
    </row>
    <row r="131" customFormat="false" ht="30.75" hidden="false" customHeight="true" outlineLevel="0" collapsed="false">
      <c r="B131" s="13" t="s">
        <v>132</v>
      </c>
      <c r="C131" s="9"/>
      <c r="D131" s="43" t="n">
        <v>0.075</v>
      </c>
      <c r="E131" s="11"/>
      <c r="F131" s="11"/>
      <c r="G131" s="11"/>
      <c r="H131" s="11"/>
      <c r="I131" s="11"/>
      <c r="K131" s="12" t="s">
        <v>133</v>
      </c>
    </row>
    <row r="132" customFormat="false" ht="30.75" hidden="false" customHeight="true" outlineLevel="0" collapsed="false">
      <c r="B132" s="13" t="s">
        <v>134</v>
      </c>
      <c r="C132" s="9"/>
      <c r="D132" s="35" t="n">
        <f aca="false">D15</f>
        <v>0.24</v>
      </c>
      <c r="E132" s="11"/>
      <c r="F132" s="11"/>
      <c r="G132" s="11"/>
      <c r="H132" s="11"/>
      <c r="I132" s="11"/>
      <c r="K132" s="12" t="s">
        <v>135</v>
      </c>
    </row>
    <row r="133" customFormat="false" ht="24" hidden="false" customHeight="true" outlineLevel="0" collapsed="false">
      <c r="B133" s="34" t="s">
        <v>136</v>
      </c>
      <c r="C133" s="9"/>
      <c r="D133" s="45" t="n">
        <f aca="false">D131*(1-D132)</f>
        <v>0.057</v>
      </c>
      <c r="E133" s="11"/>
      <c r="F133" s="11"/>
      <c r="G133" s="11"/>
      <c r="H133" s="11"/>
      <c r="I133" s="11"/>
      <c r="K133" s="12" t="s">
        <v>137</v>
      </c>
    </row>
    <row r="135" customFormat="false" ht="15" hidden="false" customHeight="false" outlineLevel="0" collapsed="false">
      <c r="B135" s="36" t="s">
        <v>138</v>
      </c>
    </row>
    <row r="136" customFormat="false" ht="30.75" hidden="false" customHeight="true" outlineLevel="0" collapsed="false">
      <c r="B136" s="13" t="s">
        <v>139</v>
      </c>
      <c r="C136" s="9"/>
      <c r="D136" s="25" t="n">
        <f aca="false">D29</f>
        <v>891861.65</v>
      </c>
      <c r="E136" s="11"/>
      <c r="F136" s="11"/>
      <c r="G136" s="11"/>
      <c r="H136" s="11"/>
      <c r="I136" s="11"/>
      <c r="K136" s="12" t="s">
        <v>140</v>
      </c>
    </row>
    <row r="137" customFormat="false" ht="24" hidden="false" customHeight="true" outlineLevel="0" collapsed="false">
      <c r="B137" s="13" t="s">
        <v>141</v>
      </c>
      <c r="C137" s="9"/>
      <c r="D137" s="25" t="n">
        <f aca="false">D23</f>
        <v>11283</v>
      </c>
      <c r="E137" s="11"/>
      <c r="F137" s="11"/>
      <c r="G137" s="11"/>
      <c r="H137" s="11"/>
      <c r="I137" s="11"/>
      <c r="K137" s="12" t="s">
        <v>142</v>
      </c>
    </row>
    <row r="138" customFormat="false" ht="24" hidden="false" customHeight="true" outlineLevel="0" collapsed="false">
      <c r="B138" s="13" t="s">
        <v>143</v>
      </c>
      <c r="C138" s="9"/>
      <c r="D138" s="25" t="n">
        <f aca="false">D136+D137</f>
        <v>903144.65</v>
      </c>
      <c r="E138" s="11"/>
      <c r="F138" s="11"/>
      <c r="G138" s="11"/>
      <c r="H138" s="11"/>
      <c r="I138" s="11"/>
      <c r="K138" s="12" t="s">
        <v>144</v>
      </c>
    </row>
    <row r="139" customFormat="false" ht="24" hidden="false" customHeight="true" outlineLevel="0" collapsed="false">
      <c r="B139" s="13" t="s">
        <v>145</v>
      </c>
      <c r="C139" s="9"/>
      <c r="D139" s="35" t="n">
        <f aca="false">D136/D138</f>
        <v>0.987506984623117</v>
      </c>
      <c r="E139" s="11"/>
      <c r="F139" s="11"/>
      <c r="G139" s="11"/>
      <c r="H139" s="11"/>
      <c r="I139" s="11"/>
      <c r="K139" s="12" t="s">
        <v>146</v>
      </c>
    </row>
    <row r="140" customFormat="false" ht="30.75" hidden="false" customHeight="true" outlineLevel="0" collapsed="false">
      <c r="B140" s="13" t="s">
        <v>147</v>
      </c>
      <c r="C140" s="9"/>
      <c r="D140" s="35" t="n">
        <f aca="false">D137/D138</f>
        <v>0.0124930153768834</v>
      </c>
      <c r="E140" s="11"/>
      <c r="F140" s="11"/>
      <c r="G140" s="11"/>
      <c r="H140" s="11"/>
      <c r="I140" s="11"/>
      <c r="K140" s="12" t="s">
        <v>148</v>
      </c>
    </row>
    <row r="142" customFormat="false" ht="43.5" hidden="false" customHeight="true" outlineLevel="0" collapsed="false">
      <c r="B142" s="38" t="s">
        <v>149</v>
      </c>
      <c r="C142" s="9"/>
      <c r="D142" s="46" t="n">
        <f aca="false">D139*D128+D140*D133</f>
        <v>0.126895744371624</v>
      </c>
      <c r="E142" s="11"/>
      <c r="F142" s="11"/>
      <c r="G142" s="11"/>
      <c r="H142" s="11"/>
      <c r="I142" s="11"/>
      <c r="K142" s="12" t="s">
        <v>150</v>
      </c>
    </row>
    <row r="145" customFormat="false" ht="15.75" hidden="false" customHeight="true" outlineLevel="0" collapsed="false">
      <c r="B145" s="4" t="s">
        <v>151</v>
      </c>
      <c r="C145" s="5"/>
      <c r="D145" s="5"/>
      <c r="E145" s="5"/>
      <c r="F145" s="5"/>
      <c r="G145" s="5"/>
      <c r="H145" s="5"/>
      <c r="I145" s="5"/>
      <c r="J145" s="5"/>
      <c r="K145" s="6" t="s">
        <v>5</v>
      </c>
    </row>
    <row r="146" customFormat="false" ht="13.5" hidden="false" customHeight="true" outlineLevel="0" collapsed="false">
      <c r="B146" s="7" t="s">
        <v>152</v>
      </c>
      <c r="C146" s="7"/>
      <c r="D146" s="7"/>
      <c r="E146" s="7"/>
      <c r="F146" s="7"/>
      <c r="G146" s="7"/>
      <c r="H146" s="7"/>
      <c r="I146" s="7"/>
      <c r="J146" s="7"/>
    </row>
    <row r="147" customFormat="false" ht="13.5" hidden="false" customHeight="true" outlineLevel="0" collapsed="false">
      <c r="B147" s="7"/>
      <c r="C147" s="7"/>
      <c r="D147" s="7"/>
      <c r="E147" s="7"/>
      <c r="F147" s="7"/>
      <c r="G147" s="7"/>
      <c r="H147" s="7"/>
      <c r="I147" s="7"/>
      <c r="J147" s="7"/>
    </row>
    <row r="148" customFormat="false" ht="13.5" hidden="false" customHeight="true" outlineLevel="0" collapsed="false">
      <c r="B148" s="7"/>
      <c r="C148" s="7"/>
      <c r="D148" s="7"/>
      <c r="E148" s="7"/>
      <c r="F148" s="7"/>
      <c r="G148" s="7"/>
      <c r="H148" s="7"/>
      <c r="I148" s="7"/>
      <c r="J148" s="7"/>
    </row>
    <row r="149" customFormat="false" ht="13.5" hidden="false" customHeight="true" outlineLevel="0" collapsed="false">
      <c r="B149" s="7"/>
      <c r="C149" s="7"/>
      <c r="D149" s="7"/>
      <c r="E149" s="7"/>
      <c r="F149" s="7"/>
      <c r="G149" s="7"/>
      <c r="H149" s="7"/>
      <c r="I149" s="7"/>
      <c r="J149" s="7"/>
    </row>
    <row r="150" customFormat="false" ht="13.5" hidden="false" customHeight="true" outlineLevel="0" collapsed="false">
      <c r="B150" s="7"/>
      <c r="C150" s="7"/>
      <c r="D150" s="7"/>
      <c r="E150" s="7"/>
      <c r="F150" s="7"/>
      <c r="G150" s="7"/>
      <c r="H150" s="7"/>
      <c r="I150" s="7"/>
      <c r="J150" s="7"/>
    </row>
    <row r="151" customFormat="false" ht="13.5" hidden="false" customHeight="true" outlineLevel="0" collapsed="false">
      <c r="B151" s="7"/>
      <c r="C151" s="7"/>
      <c r="D151" s="7"/>
      <c r="E151" s="7"/>
      <c r="F151" s="7"/>
      <c r="G151" s="7"/>
      <c r="H151" s="7"/>
      <c r="I151" s="7"/>
      <c r="J151" s="7"/>
    </row>
    <row r="153" customFormat="false" ht="15" hidden="false" customHeight="false" outlineLevel="0" collapsed="false">
      <c r="B153" s="6" t="s">
        <v>153</v>
      </c>
      <c r="M153" s="6" t="s">
        <v>154</v>
      </c>
    </row>
    <row r="154" customFormat="false" ht="33.75" hidden="false" customHeight="true" outlineLevel="0" collapsed="false">
      <c r="B154" s="47" t="s">
        <v>155</v>
      </c>
      <c r="C154" s="47"/>
      <c r="D154" s="47"/>
      <c r="E154" s="47"/>
      <c r="F154" s="47"/>
      <c r="G154" s="47"/>
      <c r="H154" s="47"/>
      <c r="I154" s="47"/>
      <c r="J154" s="47"/>
      <c r="M154" s="48" t="s">
        <v>156</v>
      </c>
      <c r="N154" s="49" t="n">
        <v>0.11</v>
      </c>
      <c r="O154" s="50" t="n">
        <f aca="false">N154+0.005</f>
        <v>0.115</v>
      </c>
      <c r="P154" s="50" t="n">
        <f aca="false">O154+0.005</f>
        <v>0.12</v>
      </c>
      <c r="Q154" s="50" t="n">
        <f aca="false">P154+0.005</f>
        <v>0.125</v>
      </c>
      <c r="R154" s="50" t="n">
        <f aca="false">Q154+0.005</f>
        <v>0.13</v>
      </c>
      <c r="S154" s="50" t="n">
        <f aca="false">R154+0.005</f>
        <v>0.135</v>
      </c>
      <c r="T154" s="50" t="n">
        <f aca="false">S154+0.005</f>
        <v>0.14</v>
      </c>
      <c r="U154" s="50" t="n">
        <f aca="false">T154+0.005</f>
        <v>0.145</v>
      </c>
    </row>
    <row r="155" customFormat="false" ht="33.75" hidden="false" customHeight="true" outlineLevel="0" collapsed="false">
      <c r="B155" s="47" t="s">
        <v>157</v>
      </c>
      <c r="C155" s="47"/>
      <c r="D155" s="47"/>
      <c r="E155" s="47"/>
      <c r="F155" s="47"/>
      <c r="G155" s="47"/>
      <c r="H155" s="47"/>
      <c r="I155" s="47"/>
      <c r="J155" s="47"/>
      <c r="M155" s="49" t="n">
        <v>0.03</v>
      </c>
      <c r="N155" s="51" t="n">
        <f aca="false">($E$46/(1+N$154)^1+$F$46/(1+N$154)^2+$G$46/(1+N$154)^3+$H$46/(1+N$154)^4+$I$46/(1+N$154)^5+$I$46*(1+$M155)/((N$154-$M155)*(1+N$154)^5)+$D$28)/$D$22</f>
        <v>2123.14708966988</v>
      </c>
      <c r="O155" s="51" t="n">
        <f aca="false">($E$46/(1+O$154)^1+$F$46/(1+O$154)^2+$G$46/(1+O$154)^3+$H$46/(1+O$154)^4+$I$46/(1+O$154)^5+$I$46*(1+$M155)/((O$154-$M155)*(1+O$154)^5)+$D$28)/$D$22</f>
        <v>2002.65551203274</v>
      </c>
      <c r="P155" s="51" t="n">
        <f aca="false">($E$46/(1+P$154)^1+$F$46/(1+P$154)^2+$G$46/(1+P$154)^3+$H$46/(1+P$154)^4+$I$46/(1+P$154)^5+$I$46*(1+$M155)/((P$154-$M155)*(1+P$154)^5)+$D$28)/$D$22</f>
        <v>1895.58335731785</v>
      </c>
      <c r="Q155" s="51" t="n">
        <f aca="false">($E$46/(1+Q$154)^1+$F$46/(1+Q$154)^2+$G$46/(1+Q$154)^3+$H$46/(1+Q$154)^4+$I$46/(1+Q$154)^5+$I$46*(1+$M155)/((Q$154-$M155)*(1+Q$154)^5)+$D$28)/$D$22</f>
        <v>1799.81108263965</v>
      </c>
      <c r="R155" s="51" t="n">
        <f aca="false">($E$46/(1+R$154)^1+$F$46/(1+R$154)^2+$G$46/(1+R$154)^3+$H$46/(1+R$154)^4+$I$46/(1+R$154)^5+$I$46*(1+$M155)/((R$154-$M155)*(1+R$154)^5)+$D$28)/$D$22</f>
        <v>1713.64307196161</v>
      </c>
      <c r="S155" s="51" t="n">
        <f aca="false">($E$46/(1+S$154)^1+$F$46/(1+S$154)^2+$G$46/(1+S$154)^3+$H$46/(1+S$154)^4+$I$46/(1+S$154)^5+$I$46*(1+$M155)/((S$154-$M155)*(1+S$154)^5)+$D$28)/$D$22</f>
        <v>1635.70670056276</v>
      </c>
      <c r="T155" s="51" t="n">
        <f aca="false">($E$46/(1+T$154)^1+$F$46/(1+T$154)^2+$G$46/(1+T$154)^3+$H$46/(1+T$154)^4+$I$46/(1+T$154)^5+$I$46*(1+$M155)/((T$154-$M155)*(1+T$154)^5)+$D$28)/$D$22</f>
        <v>1564.87892739724</v>
      </c>
      <c r="U155" s="51" t="n">
        <f aca="false">($E$46/(1+U$154)^1+$F$46/(1+U$154)^2+$G$46/(1+U$154)^3+$H$46/(1+U$154)^4+$I$46/(1+U$154)^5+$I$46*(1+$M155)/((U$154-$M155)*(1+U$154)^5)+$D$28)/$D$22</f>
        <v>1500.23203729166</v>
      </c>
    </row>
    <row r="156" customFormat="false" ht="33.75" hidden="false" customHeight="true" outlineLevel="0" collapsed="false">
      <c r="B156" s="47" t="s">
        <v>158</v>
      </c>
      <c r="C156" s="47"/>
      <c r="D156" s="47"/>
      <c r="E156" s="47"/>
      <c r="F156" s="47"/>
      <c r="G156" s="47"/>
      <c r="H156" s="47"/>
      <c r="I156" s="47"/>
      <c r="J156" s="47"/>
      <c r="M156" s="50" t="n">
        <f aca="false">M155+0.005</f>
        <v>0.035</v>
      </c>
      <c r="N156" s="51" t="n">
        <f aca="false">($E$46/(1+N$154)^1+$F$46/(1+N$154)^2+$G$46/(1+N$154)^3+$H$46/(1+N$154)^4+$I$46/(1+N$154)^5+$I$46*(1+$M156)/((N$154-$M156)*(1+N$154)^5)+$D$28)/$D$22</f>
        <v>2224.66747252477</v>
      </c>
      <c r="O156" s="51" t="n">
        <f aca="false">($E$46/(1+O$154)^1+$F$46/(1+O$154)^2+$G$46/(1+O$154)^3+$H$46/(1+O$154)^4+$I$46/(1+O$154)^5+$I$46*(1+$M156)/((O$154-$M156)*(1+O$154)^5)+$D$28)/$D$22</f>
        <v>2090.6363370602</v>
      </c>
      <c r="P156" s="51" t="n">
        <f aca="false">($E$46/(1+P$154)^1+$F$46/(1+P$154)^2+$G$46/(1+P$154)^3+$H$46/(1+P$154)^4+$I$46/(1+P$154)^5+$I$46*(1+$M156)/((P$154-$M156)*(1+P$154)^5)+$D$28)/$D$22</f>
        <v>1972.40133798981</v>
      </c>
      <c r="Q156" s="51" t="n">
        <f aca="false">($E$46/(1+Q$154)^1+$F$46/(1+Q$154)^2+$G$46/(1+Q$154)^3+$H$46/(1+Q$154)^4+$I$46/(1+Q$154)^5+$I$46*(1+$M156)/((Q$154-$M156)*(1+Q$154)^5)+$D$28)/$D$22</f>
        <v>1867.32918193036</v>
      </c>
      <c r="R156" s="51" t="n">
        <f aca="false">($E$46/(1+R$154)^1+$F$46/(1+R$154)^2+$G$46/(1+R$154)^3+$H$46/(1+R$154)^4+$I$46/(1+R$154)^5+$I$46*(1+$M156)/((R$154-$M156)*(1+R$154)^5)+$D$28)/$D$22</f>
        <v>1773.34096908097</v>
      </c>
      <c r="S156" s="51" t="n">
        <f aca="false">($E$46/(1+S$154)^1+$F$46/(1+S$154)^2+$G$46/(1+S$154)^3+$H$46/(1+S$154)^4+$I$46/(1+S$154)^5+$I$46*(1+$M156)/((S$154-$M156)*(1+S$154)^5)+$D$28)/$D$22</f>
        <v>1688.7735943293</v>
      </c>
      <c r="T156" s="51" t="n">
        <f aca="false">($E$46/(1+T$154)^1+$F$46/(1+T$154)^2+$G$46/(1+T$154)^3+$H$46/(1+T$154)^4+$I$46/(1+T$154)^5+$I$46*(1+$M156)/((T$154-$M156)*(1+T$154)^5)+$D$28)/$D$22</f>
        <v>1612.28074805937</v>
      </c>
      <c r="U156" s="51" t="n">
        <f aca="false">($E$46/(1+U$154)^1+$F$46/(1+U$154)^2+$G$46/(1+U$154)^3+$H$46/(1+U$154)^4+$I$46/(1+U$154)^5+$I$46*(1+$M156)/((U$154-$M156)*(1+U$154)^5)+$D$28)/$D$22</f>
        <v>1542.76091675517</v>
      </c>
    </row>
    <row r="157" customFormat="false" ht="33.75" hidden="false" customHeight="true" outlineLevel="0" collapsed="false">
      <c r="B157" s="47" t="s">
        <v>159</v>
      </c>
      <c r="C157" s="47"/>
      <c r="D157" s="47"/>
      <c r="E157" s="47"/>
      <c r="F157" s="47"/>
      <c r="G157" s="47"/>
      <c r="H157" s="47"/>
      <c r="I157" s="47"/>
      <c r="J157" s="47"/>
      <c r="M157" s="50" t="n">
        <f aca="false">M156+0.005</f>
        <v>0.04</v>
      </c>
      <c r="N157" s="51" t="n">
        <f aca="false">($E$46/(1+N$154)^1+$F$46/(1+N$154)^2+$G$46/(1+N$154)^3+$H$46/(1+N$154)^4+$I$46/(1+N$154)^5+$I$46*(1+$M157)/((N$154-$M157)*(1+N$154)^5)+$D$28)/$D$22</f>
        <v>2340.69076721607</v>
      </c>
      <c r="O157" s="51" t="n">
        <f aca="false">($E$46/(1+O$154)^1+$F$46/(1+O$154)^2+$G$46/(1+O$154)^3+$H$46/(1+O$154)^4+$I$46/(1+O$154)^5+$I$46*(1+$M157)/((O$154-$M157)*(1+O$154)^5)+$D$28)/$D$22</f>
        <v>2190.34793875799</v>
      </c>
      <c r="P157" s="51" t="n">
        <f aca="false">($E$46/(1+P$154)^1+$F$46/(1+P$154)^2+$G$46/(1+P$154)^3+$H$46/(1+P$154)^4+$I$46/(1+P$154)^5+$I$46*(1+$M157)/((P$154-$M157)*(1+P$154)^5)+$D$28)/$D$22</f>
        <v>2058.82156624576</v>
      </c>
      <c r="Q157" s="51" t="n">
        <f aca="false">($E$46/(1+Q$154)^1+$F$46/(1+Q$154)^2+$G$46/(1+Q$154)^3+$H$46/(1+Q$154)^4+$I$46/(1+Q$154)^5+$I$46*(1+$M157)/((Q$154-$M157)*(1+Q$154)^5)+$D$28)/$D$22</f>
        <v>1942.79058701997</v>
      </c>
      <c r="R157" s="51" t="n">
        <f aca="false">($E$46/(1+R$154)^1+$F$46/(1+R$154)^2+$G$46/(1+R$154)^3+$H$46/(1+R$154)^4+$I$46/(1+R$154)^5+$I$46*(1+$M157)/((R$154-$M157)*(1+R$154)^5)+$D$28)/$D$22</f>
        <v>1839.67196588025</v>
      </c>
      <c r="S157" s="51" t="n">
        <f aca="false">($E$46/(1+S$154)^1+$F$46/(1+S$154)^2+$G$46/(1+S$154)^3+$H$46/(1+S$154)^4+$I$46/(1+S$154)^5+$I$46*(1+$M157)/((S$154-$M157)*(1+S$154)^5)+$D$28)/$D$22</f>
        <v>1747.42647691338</v>
      </c>
      <c r="T157" s="51" t="n">
        <f aca="false">($E$46/(1+T$154)^1+$F$46/(1+T$154)^2+$G$46/(1+T$154)^3+$H$46/(1+T$154)^4+$I$46/(1+T$154)^5+$I$46*(1+$M157)/((T$154-$M157)*(1+T$154)^5)+$D$28)/$D$22</f>
        <v>1664.42275078771</v>
      </c>
      <c r="U157" s="51" t="n">
        <f aca="false">($E$46/(1+U$154)^1+$F$46/(1+U$154)^2+$G$46/(1+U$154)^3+$H$46/(1+U$154)^4+$I$46/(1+U$154)^5+$I$46*(1+$M157)/((U$154-$M157)*(1+U$154)^5)+$D$28)/$D$22</f>
        <v>1589.3401656914</v>
      </c>
    </row>
    <row r="158" customFormat="false" ht="27.75" hidden="false" customHeight="true" outlineLevel="0" collapsed="false">
      <c r="B158" s="47" t="s">
        <v>160</v>
      </c>
      <c r="C158" s="47"/>
      <c r="D158" s="47"/>
      <c r="E158" s="47"/>
      <c r="F158" s="47"/>
      <c r="G158" s="47"/>
      <c r="H158" s="47"/>
      <c r="I158" s="47"/>
      <c r="J158" s="47"/>
      <c r="M158" s="50" t="n">
        <f aca="false">M157+0.005</f>
        <v>0.045</v>
      </c>
      <c r="N158" s="51" t="n">
        <f aca="false">($E$46/(1+N$154)^1+$F$46/(1+N$154)^2+$G$46/(1+N$154)^3+$H$46/(1+N$154)^4+$I$46/(1+N$154)^5+$I$46*(1+$M158)/((N$154-$M158)*(1+N$154)^5)+$D$28)/$D$22</f>
        <v>2474.56379955218</v>
      </c>
      <c r="O158" s="51" t="n">
        <f aca="false">($E$46/(1+O$154)^1+$F$46/(1+O$154)^2+$G$46/(1+O$154)^3+$H$46/(1+O$154)^4+$I$46/(1+O$154)^5+$I$46*(1+$M158)/((O$154-$M158)*(1+O$154)^5)+$D$28)/$D$22</f>
        <v>2304.30405498403</v>
      </c>
      <c r="P158" s="51" t="n">
        <f aca="false">($E$46/(1+P$154)^1+$F$46/(1+P$154)^2+$G$46/(1+P$154)^3+$H$46/(1+P$154)^4+$I$46/(1+P$154)^5+$I$46*(1+$M158)/((P$154-$M158)*(1+P$154)^5)+$D$28)/$D$22</f>
        <v>2156.76449160251</v>
      </c>
      <c r="Q158" s="51" t="n">
        <f aca="false">($E$46/(1+Q$154)^1+$F$46/(1+Q$154)^2+$G$46/(1+Q$154)^3+$H$46/(1+Q$154)^4+$I$46/(1+Q$154)^5+$I$46*(1+$M158)/((Q$154-$M158)*(1+Q$154)^5)+$D$28)/$D$22</f>
        <v>2027.68466774578</v>
      </c>
      <c r="R158" s="51" t="n">
        <f aca="false">($E$46/(1+R$154)^1+$F$46/(1+R$154)^2+$G$46/(1+R$154)^3+$H$46/(1+R$154)^4+$I$46/(1+R$154)^5+$I$46*(1+$M158)/((R$154-$M158)*(1+R$154)^5)+$D$28)/$D$22</f>
        <v>1913.8066093618</v>
      </c>
      <c r="S158" s="51" t="n">
        <f aca="false">($E$46/(1+S$154)^1+$F$46/(1+S$154)^2+$G$46/(1+S$154)^3+$H$46/(1+S$154)^4+$I$46/(1+S$154)^5+$I$46*(1+$M158)/((S$154-$M158)*(1+S$154)^5)+$D$28)/$D$22</f>
        <v>1812.59634645124</v>
      </c>
      <c r="T158" s="51" t="n">
        <f aca="false">($E$46/(1+T$154)^1+$F$46/(1+T$154)^2+$G$46/(1+T$154)^3+$H$46/(1+T$154)^4+$I$46/(1+T$154)^5+$I$46*(1+$M158)/((T$154-$M158)*(1+T$154)^5)+$D$28)/$D$22</f>
        <v>1722.0533853822</v>
      </c>
      <c r="U158" s="51" t="n">
        <f aca="false">($E$46/(1+U$154)^1+$F$46/(1+U$154)^2+$G$46/(1+U$154)^3+$H$46/(1+U$154)^4+$I$46/(1+U$154)^5+$I$46*(1+$M158)/((U$154-$M158)*(1+U$154)^5)+$D$28)/$D$22</f>
        <v>1640.57733952125</v>
      </c>
    </row>
    <row r="159" customFormat="false" ht="15" hidden="false" customHeight="true" outlineLevel="0" collapsed="false">
      <c r="M159" s="50" t="n">
        <f aca="false">M158+0.005</f>
        <v>0.05</v>
      </c>
      <c r="N159" s="51" t="n">
        <f aca="false">($E$46/(1+N$154)^1+$F$46/(1+N$154)^2+$G$46/(1+N$154)^3+$H$46/(1+N$154)^4+$I$46/(1+N$154)^5+$I$46*(1+$M159)/((N$154-$M159)*(1+N$154)^5)+$D$28)/$D$22</f>
        <v>2630.74900394432</v>
      </c>
      <c r="O159" s="51" t="n">
        <f aca="false">($E$46/(1+O$154)^1+$F$46/(1+O$154)^2+$G$46/(1+O$154)^3+$H$46/(1+O$154)^4+$I$46/(1+O$154)^5+$I$46*(1+$M159)/((O$154-$M159)*(1+O$154)^5)+$D$28)/$D$22</f>
        <v>2435.7918813987</v>
      </c>
      <c r="P159" s="51" t="n">
        <f aca="false">($E$46/(1+P$154)^1+$F$46/(1+P$154)^2+$G$46/(1+P$154)^3+$H$46/(1+P$154)^4+$I$46/(1+P$154)^5+$I$46*(1+$M159)/((P$154-$M159)*(1+P$154)^5)+$D$28)/$D$22</f>
        <v>2268.69926343879</v>
      </c>
      <c r="Q159" s="51" t="n">
        <f aca="false">($E$46/(1+Q$154)^1+$F$46/(1+Q$154)^2+$G$46/(1+Q$154)^3+$H$46/(1+Q$154)^4+$I$46/(1+Q$154)^5+$I$46*(1+$M159)/((Q$154-$M159)*(1+Q$154)^5)+$D$28)/$D$22</f>
        <v>2123.89795923503</v>
      </c>
      <c r="R159" s="51" t="n">
        <f aca="false">($E$46/(1+R$154)^1+$F$46/(1+R$154)^2+$G$46/(1+R$154)^3+$H$46/(1+R$154)^4+$I$46/(1+R$154)^5+$I$46*(1+$M159)/((R$154-$M159)*(1+R$154)^5)+$D$28)/$D$22</f>
        <v>1997.20808327855</v>
      </c>
      <c r="S159" s="51" t="n">
        <f aca="false">($E$46/(1+S$154)^1+$F$46/(1+S$154)^2+$G$46/(1+S$154)^3+$H$46/(1+S$154)^4+$I$46/(1+S$154)^5+$I$46*(1+$M159)/((S$154-$M159)*(1+S$154)^5)+$D$28)/$D$22</f>
        <v>1885.43325946414</v>
      </c>
      <c r="T159" s="51" t="n">
        <f aca="false">($E$46/(1+T$154)^1+$F$46/(1+T$154)^2+$G$46/(1+T$154)^3+$H$46/(1+T$154)^4+$I$46/(1+T$154)^5+$I$46*(1+$M159)/((T$154-$M159)*(1+T$154)^5)+$D$28)/$D$22</f>
        <v>1786.08742382052</v>
      </c>
      <c r="U159" s="51" t="n">
        <f aca="false">($E$46/(1+U$154)^1+$F$46/(1+U$154)^2+$G$46/(1+U$154)^3+$H$46/(1+U$154)^4+$I$46/(1+U$154)^5+$I$46*(1+$M159)/((U$154-$M159)*(1+U$154)^5)+$D$28)/$D$22</f>
        <v>1697.20790007004</v>
      </c>
    </row>
    <row r="160" customFormat="false" ht="15" hidden="false" customHeight="true" outlineLevel="0" collapsed="false">
      <c r="M160" s="50" t="n">
        <f aca="false">M159+0.005</f>
        <v>0.055</v>
      </c>
      <c r="N160" s="51" t="n">
        <f aca="false">($E$46/(1+N$154)^1+$F$46/(1+N$154)^2+$G$46/(1+N$154)^3+$H$46/(1+N$154)^4+$I$46/(1+N$154)^5+$I$46*(1+$M160)/((N$154-$M160)*(1+N$154)^5)+$D$28)/$D$22</f>
        <v>2815.33151822593</v>
      </c>
      <c r="O160" s="51" t="n">
        <f aca="false">($E$46/(1+O$154)^1+$F$46/(1+O$154)^2+$G$46/(1+O$154)^3+$H$46/(1+O$154)^4+$I$46/(1+O$154)^5+$I$46*(1+$M160)/((O$154-$M160)*(1+O$154)^5)+$D$28)/$D$22</f>
        <v>2589.19434554914</v>
      </c>
      <c r="P160" s="51" t="n">
        <f aca="false">($E$46/(1+P$154)^1+$F$46/(1+P$154)^2+$G$46/(1+P$154)^3+$H$46/(1+P$154)^4+$I$46/(1+P$154)^5+$I$46*(1+$M160)/((P$154-$M160)*(1+P$154)^5)+$D$28)/$D$22</f>
        <v>2397.85476940373</v>
      </c>
      <c r="Q160" s="51" t="n">
        <f aca="false">($E$46/(1+Q$154)^1+$F$46/(1+Q$154)^2+$G$46/(1+Q$154)^3+$H$46/(1+Q$154)^4+$I$46/(1+Q$154)^5+$I$46*(1+$M160)/((Q$154-$M160)*(1+Q$154)^5)+$D$28)/$D$22</f>
        <v>2233.85600665132</v>
      </c>
      <c r="R160" s="51" t="n">
        <f aca="false">($E$46/(1+R$154)^1+$F$46/(1+R$154)^2+$G$46/(1+R$154)^3+$H$46/(1+R$154)^4+$I$46/(1+R$154)^5+$I$46*(1+$M160)/((R$154-$M160)*(1+R$154)^5)+$D$28)/$D$22</f>
        <v>2091.72975371753</v>
      </c>
      <c r="S160" s="51" t="n">
        <f aca="false">($E$46/(1+S$154)^1+$F$46/(1+S$154)^2+$G$46/(1+S$154)^3+$H$46/(1+S$154)^4+$I$46/(1+S$154)^5+$I$46*(1+$M160)/((S$154-$M160)*(1+S$154)^5)+$D$28)/$D$22</f>
        <v>1967.37478660366</v>
      </c>
      <c r="T160" s="51" t="n">
        <f aca="false">($E$46/(1+T$154)^1+$F$46/(1+T$154)^2+$G$46/(1+T$154)^3+$H$46/(1+T$154)^4+$I$46/(1+T$154)^5+$I$46*(1+$M160)/((T$154-$M160)*(1+T$154)^5)+$D$28)/$D$22</f>
        <v>1857.6548785457</v>
      </c>
      <c r="U160" s="51" t="n">
        <f aca="false">($E$46/(1+U$154)^1+$F$46/(1+U$154)^2+$G$46/(1+U$154)^3+$H$46/(1+U$154)^4+$I$46/(1+U$154)^5+$I$46*(1+$M160)/((U$154-$M160)*(1+U$154)^5)+$D$28)/$D$22</f>
        <v>1760.13074512424</v>
      </c>
    </row>
    <row r="161" customFormat="false" ht="15" hidden="false" customHeight="true" outlineLevel="0" collapsed="false">
      <c r="M161" s="50" t="n">
        <f aca="false">M160+0.005</f>
        <v>0.06</v>
      </c>
      <c r="N161" s="51" t="n">
        <f aca="false">($E$46/(1+N$154)^1+$F$46/(1+N$154)^2+$G$46/(1+N$154)^3+$H$46/(1+N$154)^4+$I$46/(1+N$154)^5+$I$46*(1+$M161)/((N$154-$M161)*(1+N$154)^5)+$D$28)/$D$22</f>
        <v>3036.83053536386</v>
      </c>
      <c r="O161" s="51" t="n">
        <f aca="false">($E$46/(1+O$154)^1+$F$46/(1+O$154)^2+$G$46/(1+O$154)^3+$H$46/(1+O$154)^4+$I$46/(1+O$154)^5+$I$46*(1+$M161)/((O$154-$M161)*(1+O$154)^5)+$D$28)/$D$22</f>
        <v>2770.48816681784</v>
      </c>
      <c r="P161" s="51" t="n">
        <f aca="false">($E$46/(1+P$154)^1+$F$46/(1+P$154)^2+$G$46/(1+P$154)^3+$H$46/(1+P$154)^4+$I$46/(1+P$154)^5+$I$46*(1+$M161)/((P$154-$M161)*(1+P$154)^5)+$D$28)/$D$22</f>
        <v>2548.53619302949</v>
      </c>
      <c r="Q161" s="51" t="n">
        <f aca="false">($E$46/(1+Q$154)^1+$F$46/(1+Q$154)^2+$G$46/(1+Q$154)^3+$H$46/(1+Q$154)^4+$I$46/(1+Q$154)^5+$I$46*(1+$M161)/((Q$154-$M161)*(1+Q$154)^5)+$D$28)/$D$22</f>
        <v>2360.73067674704</v>
      </c>
      <c r="R161" s="51" t="n">
        <f aca="false">($E$46/(1+R$154)^1+$F$46/(1+R$154)^2+$G$46/(1+R$154)^3+$H$46/(1+R$154)^4+$I$46/(1+R$154)^5+$I$46*(1+$M161)/((R$154-$M161)*(1+R$154)^5)+$D$28)/$D$22</f>
        <v>2199.75451993351</v>
      </c>
      <c r="S161" s="51" t="n">
        <f aca="false">($E$46/(1+S$154)^1+$F$46/(1+S$154)^2+$G$46/(1+S$154)^3+$H$46/(1+S$154)^4+$I$46/(1+S$154)^5+$I$46*(1+$M161)/((S$154-$M161)*(1+S$154)^5)+$D$28)/$D$22</f>
        <v>2060.24185069512</v>
      </c>
      <c r="T161" s="51" t="n">
        <f aca="false">($E$46/(1+T$154)^1+$F$46/(1+T$154)^2+$G$46/(1+T$154)^3+$H$46/(1+T$154)^4+$I$46/(1+T$154)^5+$I$46*(1+$M161)/((T$154-$M161)*(1+T$154)^5)+$D$28)/$D$22</f>
        <v>1938.16826511152</v>
      </c>
      <c r="U161" s="51" t="n">
        <f aca="false">($E$46/(1+U$154)^1+$F$46/(1+U$154)^2+$G$46/(1+U$154)^3+$H$46/(1+U$154)^4+$I$46/(1+U$154)^5+$I$46*(1+$M161)/((U$154-$M161)*(1+U$154)^5)+$D$28)/$D$22</f>
        <v>1830.45627783188</v>
      </c>
    </row>
    <row r="163" customFormat="false" ht="15" hidden="false" customHeight="false" outlineLevel="0" collapsed="false">
      <c r="M163" s="2" t="s">
        <v>161</v>
      </c>
    </row>
  </sheetData>
  <mergeCells count="14">
    <mergeCell ref="B5:J5"/>
    <mergeCell ref="B9:J13"/>
    <mergeCell ref="B34:J39"/>
    <mergeCell ref="B48:J48"/>
    <mergeCell ref="B52:J56"/>
    <mergeCell ref="B68:J73"/>
    <mergeCell ref="B90:J95"/>
    <mergeCell ref="B116:J122"/>
    <mergeCell ref="B146:J151"/>
    <mergeCell ref="B154:J154"/>
    <mergeCell ref="B155:J155"/>
    <mergeCell ref="B156:J156"/>
    <mergeCell ref="B157:J157"/>
    <mergeCell ref="B158:J158"/>
  </mergeCells>
  <conditionalFormatting sqref="N155:U161">
    <cfRule type="colorScale" priority="2">
      <colorScale>
        <cfvo type="min" val="0"/>
        <cfvo type="num" val="2465"/>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2"/>
    <col collapsed="false" customWidth="true" hidden="false" outlineLevel="0" max="4" min="4" style="0" width="18"/>
  </cols>
  <sheetData>
    <row r="2" customFormat="false" ht="18.55" hidden="false" customHeight="false" outlineLevel="0" collapsed="false">
      <c r="B2" s="52" t="s">
        <v>162</v>
      </c>
    </row>
    <row r="3" customFormat="false" ht="15" hidden="false" customHeight="false" outlineLevel="0" collapsed="false">
      <c r="B3" s="2" t="s">
        <v>163</v>
      </c>
    </row>
    <row r="5" customFormat="false" ht="15" hidden="false" customHeight="false" outlineLevel="0" collapsed="false">
      <c r="B5" s="53" t="s">
        <v>164</v>
      </c>
      <c r="C5" s="5"/>
      <c r="D5" s="5"/>
    </row>
    <row r="6" customFormat="false" ht="15" hidden="false" customHeight="false" outlineLevel="0" collapsed="false">
      <c r="B6" s="54" t="s">
        <v>165</v>
      </c>
      <c r="C6" s="55"/>
      <c r="D6" s="56" t="n">
        <f aca="false">'DCF Model'!D16</f>
        <v>0.126895744371624</v>
      </c>
    </row>
    <row r="7" customFormat="false" ht="15" hidden="false" customHeight="false" outlineLevel="0" collapsed="false">
      <c r="B7" s="54" t="s">
        <v>166</v>
      </c>
      <c r="C7" s="55"/>
      <c r="D7" s="57" t="n">
        <f aca="false">'DCF Model'!D17</f>
        <v>0.05</v>
      </c>
    </row>
    <row r="8" customFormat="false" ht="15" hidden="false" customHeight="false" outlineLevel="0" collapsed="false">
      <c r="B8" s="54" t="s">
        <v>167</v>
      </c>
      <c r="C8" s="55"/>
      <c r="D8" s="57" t="n">
        <f aca="false">'DCF Model'!D18</f>
        <v>0.06</v>
      </c>
    </row>
    <row r="9" customFormat="false" ht="15" hidden="false" customHeight="false" outlineLevel="0" collapsed="false">
      <c r="B9" s="54" t="s">
        <v>134</v>
      </c>
      <c r="C9" s="55"/>
      <c r="D9" s="57" t="n">
        <f aca="false">'DCF Model'!D15</f>
        <v>0.24</v>
      </c>
    </row>
    <row r="10" customFormat="false" ht="15" hidden="false" customHeight="false" outlineLevel="0" collapsed="false">
      <c r="B10" s="54" t="s">
        <v>104</v>
      </c>
      <c r="C10" s="55"/>
      <c r="D10" s="58" t="n">
        <f aca="false">'DCF Model'!D22</f>
        <v>361.81</v>
      </c>
    </row>
    <row r="11" customFormat="false" ht="15" hidden="false" customHeight="false" outlineLevel="0" collapsed="false">
      <c r="B11" s="54" t="s">
        <v>168</v>
      </c>
      <c r="C11" s="55"/>
      <c r="D11" s="59" t="n">
        <f aca="false">'DCF Model'!D21</f>
        <v>2465</v>
      </c>
    </row>
    <row r="13" customFormat="false" ht="15" hidden="false" customHeight="false" outlineLevel="0" collapsed="false">
      <c r="B13" s="53" t="s">
        <v>169</v>
      </c>
      <c r="C13" s="5"/>
      <c r="D13" s="5"/>
    </row>
    <row r="14" customFormat="false" ht="15" hidden="false" customHeight="false" outlineLevel="0" collapsed="false">
      <c r="B14" s="54" t="s">
        <v>170</v>
      </c>
      <c r="C14" s="55"/>
      <c r="D14" s="60" t="n">
        <f aca="false">'DCF Model'!D64</f>
        <v>208852.280347959</v>
      </c>
    </row>
    <row r="15" customFormat="false" ht="15" hidden="false" customHeight="false" outlineLevel="0" collapsed="false">
      <c r="B15" s="54" t="s">
        <v>87</v>
      </c>
      <c r="C15" s="55"/>
      <c r="D15" s="60" t="n">
        <f aca="false">'DCF Model'!D83</f>
        <v>502776.85126302</v>
      </c>
    </row>
    <row r="16" customFormat="false" ht="15" hidden="false" customHeight="false" outlineLevel="0" collapsed="false">
      <c r="B16" s="61" t="s">
        <v>96</v>
      </c>
      <c r="C16" s="55"/>
      <c r="D16" s="62" t="n">
        <f aca="false">'DCF Model'!D85</f>
        <v>711629.131610979</v>
      </c>
    </row>
    <row r="17" customFormat="false" ht="15" hidden="false" customHeight="false" outlineLevel="0" collapsed="false">
      <c r="B17" s="54" t="s">
        <v>98</v>
      </c>
      <c r="C17" s="55"/>
      <c r="D17" s="60" t="n">
        <f aca="false">'DCF Model'!D24</f>
        <v>50020</v>
      </c>
    </row>
    <row r="18" customFormat="false" ht="15" hidden="false" customHeight="false" outlineLevel="0" collapsed="false">
      <c r="B18" s="54" t="s">
        <v>100</v>
      </c>
      <c r="C18" s="55"/>
      <c r="D18" s="60" t="n">
        <f aca="false">'DCF Model'!D23</f>
        <v>11283</v>
      </c>
    </row>
    <row r="19" customFormat="false" ht="15" hidden="false" customHeight="false" outlineLevel="0" collapsed="false">
      <c r="B19" s="61" t="s">
        <v>102</v>
      </c>
      <c r="C19" s="55"/>
      <c r="D19" s="62" t="n">
        <f aca="false">'DCF Model'!D101</f>
        <v>750366.131610979</v>
      </c>
    </row>
    <row r="21" customFormat="false" ht="15" hidden="false" customHeight="false" outlineLevel="0" collapsed="false">
      <c r="B21" s="53" t="s">
        <v>171</v>
      </c>
      <c r="C21" s="5"/>
      <c r="D21" s="5"/>
    </row>
    <row r="22" customFormat="false" ht="15" hidden="false" customHeight="false" outlineLevel="0" collapsed="false">
      <c r="B22" s="63" t="s">
        <v>172</v>
      </c>
      <c r="C22" s="55"/>
      <c r="D22" s="64" t="n">
        <f aca="false">'DCF Model'!D103</f>
        <v>2073.92314090539</v>
      </c>
    </row>
    <row r="23" customFormat="false" ht="15" hidden="false" customHeight="false" outlineLevel="0" collapsed="false">
      <c r="B23" s="54" t="s">
        <v>173</v>
      </c>
      <c r="C23" s="55"/>
      <c r="D23" s="59" t="n">
        <f aca="false">'DCF Model'!D21</f>
        <v>2465</v>
      </c>
    </row>
    <row r="24" customFormat="false" ht="15" hidden="false" customHeight="false" outlineLevel="0" collapsed="false">
      <c r="B24" s="65" t="s">
        <v>174</v>
      </c>
      <c r="C24" s="55"/>
      <c r="D24" s="57" t="n">
        <f aca="false">'DCF Model'!D110</f>
        <v>-0.158651869815257</v>
      </c>
    </row>
    <row r="25" customFormat="false" ht="15" hidden="false" customHeight="false" outlineLevel="0" collapsed="false">
      <c r="B25" s="65" t="s">
        <v>116</v>
      </c>
      <c r="C25" s="55"/>
      <c r="D25" s="66" t="str">
        <f aca="false">'DCF Model'!D111</f>
        <v>OVERVALUED</v>
      </c>
    </row>
    <row r="27" customFormat="false" ht="15" hidden="false" customHeight="true" outlineLevel="0" collapsed="false">
      <c r="B27" s="67" t="s">
        <v>175</v>
      </c>
      <c r="C27" s="67"/>
      <c r="D27" s="67"/>
      <c r="E27" s="67"/>
      <c r="F27" s="67"/>
      <c r="G27" s="67"/>
      <c r="H27" s="67"/>
    </row>
    <row r="28" customFormat="false" ht="15" hidden="false" customHeight="false" outlineLevel="0" collapsed="false">
      <c r="B28" s="67"/>
      <c r="C28" s="67"/>
      <c r="D28" s="67"/>
      <c r="E28" s="67"/>
      <c r="F28" s="67"/>
      <c r="G28" s="67"/>
      <c r="H28" s="67"/>
    </row>
    <row r="29" customFormat="false" ht="15" hidden="false" customHeight="false" outlineLevel="0" collapsed="false">
      <c r="B29" s="67"/>
      <c r="C29" s="67"/>
      <c r="D29" s="67"/>
      <c r="E29" s="67"/>
      <c r="F29" s="67"/>
      <c r="G29" s="67"/>
      <c r="H29" s="67"/>
    </row>
    <row r="30" customFormat="false" ht="15" hidden="false" customHeight="false" outlineLevel="0" collapsed="false">
      <c r="B30" s="67"/>
      <c r="C30" s="67"/>
      <c r="D30" s="67"/>
      <c r="E30" s="67"/>
      <c r="F30" s="67"/>
      <c r="G30" s="67"/>
      <c r="H30" s="67"/>
    </row>
  </sheetData>
  <mergeCells count="1">
    <mergeCell ref="B27: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2026-10-18T17:35:05Z</dcterms:created>
  <dc:creator>openpyxl</dc:creator>
  <dc:description/>
  <dc:language>en-US</dc:language>
  <cp:lastModifiedBy/>
  <dcterms:modified xsi:type="dcterms:W3CDTF">2026-10-18T17:35:05Z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